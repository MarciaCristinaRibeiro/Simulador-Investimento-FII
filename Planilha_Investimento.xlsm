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9548F0891359F02/Documentos/AULAS.DIVERSAS/DIO/EXCEL_IA/"/>
    </mc:Choice>
  </mc:AlternateContent>
  <xr:revisionPtr revIDLastSave="255" documentId="8_{AEF8C126-8434-47A9-92D4-64104B95BAF7}" xr6:coauthVersionLast="47" xr6:coauthVersionMax="47" xr10:uidLastSave="{376F125D-8108-41A4-9E2C-FD88685A5F21}"/>
  <bookViews>
    <workbookView xWindow="-120" yWindow="-120" windowWidth="29040" windowHeight="15720" tabRatio="0" xr2:uid="{D7A67E62-A340-4DB5-A0B5-09A7DD78E121}"/>
  </bookViews>
  <sheets>
    <sheet name="Especificação" sheetId="1" r:id="rId1"/>
    <sheet name="Simulador_Exemplo" sheetId="3" state="hidden" r:id="rId2"/>
    <sheet name="Simulador" sheetId="6" r:id="rId3"/>
    <sheet name="BD" sheetId="4" r:id="rId4"/>
  </sheets>
  <definedNames>
    <definedName name="_xleta.IFS" hidden="1" xlm="1">#NAME?</definedName>
    <definedName name="Anos">Simulador!$F$13</definedName>
    <definedName name="Aporte">Simulador_Exemplo!$F$10</definedName>
    <definedName name="Patrimonio" localSheetId="2">Simulador!$F$15</definedName>
    <definedName name="Patrimonio">Simulador_Exemplo!$F$13</definedName>
    <definedName name="PatrimonioAc">Simulador!$F$15</definedName>
    <definedName name="Perfil">Simulador!$F$8</definedName>
    <definedName name="Qtd_Anos" localSheetId="2">Simulador!$F$13</definedName>
    <definedName name="Qtd_Anos">Simulador_Exemplo!$F$11</definedName>
    <definedName name="Renda_Mensal" localSheetId="2">Simulador!$F$4</definedName>
    <definedName name="Rendimento_Carteira" localSheetId="2">Simulador!$F$5</definedName>
    <definedName name="Rendimento_Carteira">Simulador_Exemplo!$F$6</definedName>
    <definedName name="Taxa">Simulador!$F$14</definedName>
    <definedName name="Taxa_Mensal" localSheetId="2">Simulador!$F$14</definedName>
    <definedName name="Taxa_Mensal">Simulador_Exemplo!$F$12</definedName>
    <definedName name="ValorSugerido">Simulador!$F$6</definedName>
    <definedName name="Vlr_Aportado" localSheetId="2">Simulador!$F$9</definedName>
    <definedName name="Vlr_Aportado">Simulador_Exemplo!$L$5</definedName>
    <definedName name="Vlr_Investido">Simulador!$F$12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3" l="1"/>
  <c r="F6" i="6"/>
  <c r="L9" i="6"/>
  <c r="L8" i="6"/>
  <c r="L7" i="6"/>
  <c r="L6" i="6"/>
  <c r="L5" i="6"/>
  <c r="L4" i="6"/>
  <c r="K11" i="3"/>
  <c r="L11" i="3" s="1"/>
  <c r="K12" i="3"/>
  <c r="L12" i="3" s="1"/>
  <c r="K13" i="3"/>
  <c r="L13" i="3" s="1"/>
  <c r="K14" i="3"/>
  <c r="L14" i="3" s="1"/>
  <c r="K15" i="3"/>
  <c r="L15" i="3" s="1"/>
  <c r="K10" i="3"/>
  <c r="L10" i="3" s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3" i="4"/>
  <c r="E18" i="3"/>
  <c r="F18" i="3" s="1"/>
  <c r="E19" i="3"/>
  <c r="F19" i="3" s="1"/>
  <c r="E20" i="3"/>
  <c r="F20" i="3" s="1"/>
  <c r="E21" i="3"/>
  <c r="F21" i="3" s="1"/>
  <c r="E17" i="3"/>
  <c r="F17" i="3" s="1"/>
  <c r="F13" i="3"/>
  <c r="F14" i="3" s="1"/>
  <c r="F9" i="6" l="1" a="1"/>
  <c r="F9" i="6" s="1"/>
  <c r="F12" i="6" s="1"/>
  <c r="F15" i="6" l="1"/>
  <c r="F16" i="6" s="1"/>
  <c r="E20" i="6"/>
  <c r="F20" i="6" s="1"/>
  <c r="E21" i="6"/>
  <c r="F21" i="6" s="1"/>
  <c r="E22" i="6"/>
  <c r="F22" i="6" s="1"/>
  <c r="E23" i="6"/>
  <c r="F23" i="6" s="1"/>
  <c r="E19" i="6"/>
  <c r="F19" i="6" s="1"/>
  <c r="M4" i="6"/>
  <c r="M8" i="6"/>
  <c r="M5" i="6"/>
  <c r="M9" i="6"/>
  <c r="M7" i="6"/>
  <c r="M6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<sst xmlns="http://schemas.openxmlformats.org/spreadsheetml/2006/main" count="117" uniqueCount="53">
  <si>
    <t xml:space="preserve">Objetivo: </t>
  </si>
  <si>
    <t>Perguntas de negócios:</t>
  </si>
  <si>
    <t>1) Quanto investir por mês?</t>
  </si>
  <si>
    <t>2) Por quantos anos?</t>
  </si>
  <si>
    <t>3) Qual a taxa de rendimento mensal?</t>
  </si>
  <si>
    <t>5) Qual o valor dos dividendos mensais?</t>
  </si>
  <si>
    <t>INVESTIMENTO MENSAL</t>
  </si>
  <si>
    <t>Quanto investir por mês?</t>
  </si>
  <si>
    <t>Por quantos anos?</t>
  </si>
  <si>
    <t>Qual a taxa de rendimento mensal?</t>
  </si>
  <si>
    <t>4) Qual o patrimônio acumulado que terei?</t>
  </si>
  <si>
    <t>Patrimônio acumulado</t>
  </si>
  <si>
    <t>Dividendos mensais</t>
  </si>
  <si>
    <t>CENÁRIOS</t>
  </si>
  <si>
    <t>Quanto em 2 anos?</t>
  </si>
  <si>
    <t>Quanto em 5 anos?</t>
  </si>
  <si>
    <t>Quanto em 10 anos?</t>
  </si>
  <si>
    <t>Quanto em 20 anos?</t>
  </si>
  <si>
    <t>Quanto em 30 anos?</t>
  </si>
  <si>
    <t>DIVIDENDO</t>
  </si>
  <si>
    <t>CONFIGURAÇÕES</t>
  </si>
  <si>
    <t>Salário</t>
  </si>
  <si>
    <t>Rendimento Carteira</t>
  </si>
  <si>
    <t>Sugestão de Investimento</t>
  </si>
  <si>
    <t>PERFIL</t>
  </si>
  <si>
    <t>AGRESSIVO</t>
  </si>
  <si>
    <t>Valor a ser investido por mês</t>
  </si>
  <si>
    <t>TIPO DE FII</t>
  </si>
  <si>
    <t>PERCENTUAL SUGERIDO</t>
  </si>
  <si>
    <t>VALORES</t>
  </si>
  <si>
    <t>PAPEL</t>
  </si>
  <si>
    <t>TIJOLO</t>
  </si>
  <si>
    <t>HÍBRIDOS</t>
  </si>
  <si>
    <t>FOFs</t>
  </si>
  <si>
    <t>DESENVOLVIMENTO</t>
  </si>
  <si>
    <t>HOTELARIAS</t>
  </si>
  <si>
    <t>CONSERVADOR</t>
  </si>
  <si>
    <t>MODERADO</t>
  </si>
  <si>
    <t>CHAVE</t>
  </si>
  <si>
    <t>%</t>
  </si>
  <si>
    <t>Sugestão de valor para o Investimento</t>
  </si>
  <si>
    <t>% A SER INVESTIDO</t>
  </si>
  <si>
    <t>Tipo de papel</t>
  </si>
  <si>
    <t>Valor a ser investido</t>
  </si>
  <si>
    <t>ESCOLHA O SEU PERFIL DE INVESTIDOR?</t>
  </si>
  <si>
    <t>DIVIDENDOS</t>
  </si>
  <si>
    <t>Renda Mensal (salário, aluguel, freelance, ...)</t>
  </si>
  <si>
    <t>Rendimento Carteira (cálculo dos dividendos)</t>
  </si>
  <si>
    <t>VALOR A INVESTIR EM FII</t>
  </si>
  <si>
    <t>Criar um simulador simples de investimentos em Fundos Imobiliários (FIIs) respondendo as seguintes perguntas de negócios</t>
  </si>
  <si>
    <t xml:space="preserve">O que são Fundos Imobiliários? </t>
  </si>
  <si>
    <t>São investimentos em imóveis e títulos imobiliários de maneira indireta, por meio de cotas negociadas na Bolsa de Valores.</t>
  </si>
  <si>
    <t>Essa modalidade de investimento permite acesso a diferentes tipos de ativos, como por exemplo prédios comerciais, shoppings e até terrenos.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</si>
</sst>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3" formatCode="_-* #,##0.00_-;\-* #,##0.00_-;_-* &quot;-&quot;??_-;_-@_-"/>
    <numFmt numFmtId="164" formatCode="&quot;R$&quot;\ #,##0.00"/>
  </numFmts>
  <fonts count="19" x14ac:knownFonts="1">
    <font>
      <sz val="11"/>
      <color theme="1"/>
      <name val="Aptos Narrow"/>
      <family val="2"/>
      <scheme val="minor"/>
    </font>
    <font>
      <sz val="12"/>
      <color theme="1"/>
      <name val="Arial Nova"/>
      <family val="2"/>
    </font>
    <font>
      <b/>
      <sz val="14"/>
      <color theme="1"/>
      <name val="Arial Nova"/>
      <family val="2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2"/>
      <color theme="1"/>
      <name val="Arial Nova"/>
      <family val="2"/>
    </font>
    <font>
      <sz val="12"/>
      <color theme="2"/>
      <name val="Arial Nova"/>
      <family val="2"/>
    </font>
    <font>
      <b/>
      <sz val="10"/>
      <color theme="1"/>
      <name val="Arial Nova"/>
      <family val="2"/>
    </font>
    <font>
      <b/>
      <sz val="11"/>
      <color rgb="FFFFFFCC"/>
      <name val="Arial Nova"/>
      <family val="2"/>
    </font>
    <font>
      <b/>
      <sz val="14"/>
      <color rgb="FFFFFFCC"/>
      <name val="Arial Nova"/>
      <family val="2"/>
    </font>
    <font>
      <b/>
      <sz val="11"/>
      <color rgb="FFFA7D00"/>
      <name val="Arial Nova"/>
      <family val="2"/>
    </font>
    <font>
      <sz val="11"/>
      <color rgb="FFFA7D00"/>
      <name val="Arial Nova"/>
      <family val="2"/>
    </font>
    <font>
      <sz val="10"/>
      <color rgb="FFFA7D00"/>
      <name val="Arial Nova"/>
      <family val="2"/>
    </font>
    <font>
      <b/>
      <sz val="11"/>
      <color theme="1"/>
      <name val="Aptos Narrow"/>
      <family val="2"/>
      <scheme val="minor"/>
    </font>
    <font>
      <b/>
      <sz val="14"/>
      <color rgb="FFFA7D00"/>
      <name val="Arial Nova"/>
      <family val="2"/>
    </font>
    <font>
      <b/>
      <sz val="10"/>
      <color rgb="FFFA7D00"/>
      <name val="Arial Nova"/>
      <family val="2"/>
    </font>
    <font>
      <b/>
      <sz val="14"/>
      <color rgb="FFFA7D00"/>
      <name val="Segoe UI"/>
      <family val="2"/>
    </font>
    <font>
      <b/>
      <sz val="14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/>
      <diagonal/>
    </border>
    <border>
      <left/>
      <right/>
      <top style="thin">
        <color theme="2" tint="-9.9948118533890809E-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rgb="FF00B050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/>
      <right/>
      <top/>
      <bottom style="medium">
        <color rgb="FF9C5700"/>
      </bottom>
      <diagonal/>
    </border>
    <border>
      <left/>
      <right style="thin">
        <color rgb="FF9C5700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 style="medium">
        <color rgb="FF9C5700"/>
      </top>
      <bottom/>
      <diagonal/>
    </border>
    <border>
      <left/>
      <right/>
      <top style="medium">
        <color rgb="FF9C5700"/>
      </top>
      <bottom/>
      <diagonal/>
    </border>
    <border>
      <left style="thin">
        <color rgb="FF9C5700"/>
      </left>
      <right style="thin">
        <color theme="2" tint="-9.9948118533890809E-2"/>
      </right>
      <top style="medium">
        <color rgb="FF9C5700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rgb="FF9C5700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 style="thin">
        <color rgb="FF9C5700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medium">
        <color rgb="FF9C5700"/>
      </bottom>
      <diagonal/>
    </border>
    <border>
      <left/>
      <right style="thin">
        <color theme="2" tint="-9.9948118533890809E-2"/>
      </right>
      <top/>
      <bottom style="medium">
        <color rgb="FF9C5700"/>
      </bottom>
      <diagonal/>
    </border>
    <border>
      <left style="thin">
        <color theme="2" tint="-9.9948118533890809E-2"/>
      </left>
      <right/>
      <top/>
      <bottom style="medium">
        <color rgb="FF00B050"/>
      </bottom>
      <diagonal/>
    </border>
    <border>
      <left/>
      <right style="thin">
        <color theme="2" tint="-9.9948118533890809E-2"/>
      </right>
      <top/>
      <bottom style="medium">
        <color rgb="FF00B050"/>
      </bottom>
      <diagonal/>
    </border>
    <border>
      <left style="thin">
        <color theme="2" tint="-9.9948118533890809E-2"/>
      </left>
      <right/>
      <top/>
      <bottom/>
      <diagonal/>
    </border>
    <border>
      <left style="thin">
        <color rgb="FF00B050"/>
      </left>
      <right style="thin">
        <color theme="2" tint="-9.9948118533890809E-2"/>
      </right>
      <top style="medium">
        <color rgb="FF00B050"/>
      </top>
      <bottom/>
      <diagonal/>
    </border>
    <border>
      <left style="thin">
        <color rgb="FF00B050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/>
      </bottom>
      <diagonal/>
    </border>
    <border>
      <left style="thin">
        <color rgb="FF00B050"/>
      </left>
      <right style="thin">
        <color theme="2" tint="-9.9948118533890809E-2"/>
      </right>
      <top style="thin">
        <color theme="2" tint="-9.9948118533890809E-2"/>
      </top>
      <bottom style="thin">
        <color theme="2"/>
      </bottom>
      <diagonal/>
    </border>
    <border>
      <left style="thin">
        <color theme="2" tint="-9.9948118533890809E-2"/>
      </left>
      <right/>
      <top style="thin">
        <color theme="2"/>
      </top>
      <bottom style="thin">
        <color theme="2" tint="-9.9948118533890809E-2"/>
      </bottom>
      <diagonal/>
    </border>
    <border>
      <left/>
      <right/>
      <top style="thin">
        <color theme="2"/>
      </top>
      <bottom style="thin">
        <color theme="2" tint="-9.9948118533890809E-2"/>
      </bottom>
      <diagonal/>
    </border>
    <border>
      <left style="thin">
        <color rgb="FF00B050"/>
      </left>
      <right style="thin">
        <color theme="2" tint="-9.9948118533890809E-2"/>
      </right>
      <top style="thin">
        <color theme="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/>
      <right style="thin">
        <color theme="2" tint="-9.9948118533890809E-2"/>
      </right>
      <top/>
      <bottom/>
      <diagonal/>
    </border>
    <border>
      <left style="thin">
        <color theme="2" tint="-9.9948118533890809E-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 style="thin">
        <color theme="2" tint="-9.9948118533890809E-2"/>
      </right>
      <top style="medium">
        <color theme="2"/>
      </top>
      <bottom style="medium">
        <color theme="2"/>
      </bottom>
      <diagonal/>
    </border>
    <border>
      <left style="thin">
        <color theme="2" tint="-9.9948118533890809E-2"/>
      </left>
      <right/>
      <top/>
      <bottom style="thin">
        <color theme="2"/>
      </bottom>
      <diagonal/>
    </border>
    <border>
      <left/>
      <right style="thin">
        <color theme="5" tint="0.79998168889431442"/>
      </right>
      <top/>
      <bottom/>
      <diagonal/>
    </border>
    <border>
      <left style="thin">
        <color theme="5" tint="0.79998168889431442"/>
      </left>
      <right style="thin">
        <color theme="5" tint="0.79998168889431442"/>
      </right>
      <top/>
      <bottom/>
      <diagonal/>
    </border>
    <border>
      <left style="thin">
        <color theme="5" tint="0.79998168889431442"/>
      </left>
      <right/>
      <top/>
      <bottom/>
      <diagonal/>
    </border>
    <border>
      <left style="thin">
        <color theme="2" tint="-9.9948118533890809E-2"/>
      </left>
      <right/>
      <top style="double">
        <color rgb="FFFF8001"/>
      </top>
      <bottom style="thin">
        <color theme="2" tint="-9.9948118533890809E-2"/>
      </bottom>
      <diagonal/>
    </border>
    <border>
      <left/>
      <right/>
      <top style="double">
        <color rgb="FFFF8001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double">
        <color rgb="FFFF8001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theme="2"/>
      </left>
      <right style="medium">
        <color theme="2"/>
      </right>
      <top/>
      <bottom style="medium">
        <color rgb="FF00B050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3" borderId="0" applyNumberFormat="0" applyBorder="0" applyAlignment="0" applyProtection="0"/>
    <xf numFmtId="0" fontId="5" fillId="0" borderId="1" applyNumberFormat="0" applyFill="0" applyAlignment="0" applyProtection="0"/>
  </cellStyleXfs>
  <cellXfs count="77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5" borderId="2" xfId="0" applyFont="1" applyFill="1" applyBorder="1"/>
    <xf numFmtId="0" fontId="2" fillId="2" borderId="3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5" borderId="6" xfId="0" applyFont="1" applyFill="1" applyBorder="1"/>
    <xf numFmtId="0" fontId="1" fillId="6" borderId="3" xfId="0" applyFont="1" applyFill="1" applyBorder="1"/>
    <xf numFmtId="0" fontId="7" fillId="2" borderId="0" xfId="0" applyFont="1" applyFill="1"/>
    <xf numFmtId="0" fontId="2" fillId="6" borderId="3" xfId="0" applyFont="1" applyFill="1" applyBorder="1" applyAlignment="1">
      <alignment horizontal="center" vertical="center"/>
    </xf>
    <xf numFmtId="0" fontId="6" fillId="5" borderId="5" xfId="0" applyFont="1" applyFill="1" applyBorder="1"/>
    <xf numFmtId="0" fontId="6" fillId="5" borderId="7" xfId="0" applyFont="1" applyFill="1" applyBorder="1"/>
    <xf numFmtId="0" fontId="6" fillId="5" borderId="8" xfId="0" applyFont="1" applyFill="1" applyBorder="1"/>
    <xf numFmtId="164" fontId="1" fillId="5" borderId="9" xfId="0" applyNumberFormat="1" applyFont="1" applyFill="1" applyBorder="1"/>
    <xf numFmtId="0" fontId="6" fillId="5" borderId="10" xfId="0" applyFont="1" applyFill="1" applyBorder="1"/>
    <xf numFmtId="164" fontId="1" fillId="5" borderId="11" xfId="0" applyNumberFormat="1" applyFont="1" applyFill="1" applyBorder="1"/>
    <xf numFmtId="164" fontId="1" fillId="5" borderId="12" xfId="0" applyNumberFormat="1" applyFont="1" applyFill="1" applyBorder="1"/>
    <xf numFmtId="0" fontId="9" fillId="7" borderId="13" xfId="3" applyFont="1" applyFill="1" applyBorder="1" applyAlignment="1">
      <alignment vertical="center"/>
    </xf>
    <xf numFmtId="0" fontId="1" fillId="2" borderId="15" xfId="0" applyFont="1" applyFill="1" applyBorder="1"/>
    <xf numFmtId="0" fontId="1" fillId="2" borderId="14" xfId="0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164" fontId="6" fillId="2" borderId="18" xfId="0" applyNumberFormat="1" applyFont="1" applyFill="1" applyBorder="1"/>
    <xf numFmtId="0" fontId="1" fillId="2" borderId="19" xfId="0" applyFont="1" applyFill="1" applyBorder="1"/>
    <xf numFmtId="10" fontId="6" fillId="2" borderId="20" xfId="2" applyNumberFormat="1" applyFont="1" applyFill="1" applyBorder="1"/>
    <xf numFmtId="0" fontId="1" fillId="2" borderId="21" xfId="0" applyFont="1" applyFill="1" applyBorder="1"/>
    <xf numFmtId="164" fontId="6" fillId="2" borderId="22" xfId="0" applyNumberFormat="1" applyFont="1" applyFill="1" applyBorder="1"/>
    <xf numFmtId="0" fontId="10" fillId="7" borderId="23" xfId="3" applyFont="1" applyFill="1" applyBorder="1" applyAlignment="1">
      <alignment vertical="center"/>
    </xf>
    <xf numFmtId="0" fontId="9" fillId="7" borderId="24" xfId="3" applyFont="1" applyFill="1" applyBorder="1" applyAlignment="1">
      <alignment vertical="center"/>
    </xf>
    <xf numFmtId="0" fontId="2" fillId="6" borderId="25" xfId="0" applyFont="1" applyFill="1" applyBorder="1" applyAlignment="1">
      <alignment vertical="center"/>
    </xf>
    <xf numFmtId="0" fontId="1" fillId="6" borderId="26" xfId="0" applyFont="1" applyFill="1" applyBorder="1"/>
    <xf numFmtId="0" fontId="1" fillId="2" borderId="27" xfId="0" applyFont="1" applyFill="1" applyBorder="1"/>
    <xf numFmtId="164" fontId="6" fillId="2" borderId="28" xfId="1" applyNumberFormat="1" applyFont="1" applyFill="1" applyBorder="1" applyAlignment="1"/>
    <xf numFmtId="0" fontId="6" fillId="2" borderId="29" xfId="0" applyFont="1" applyFill="1" applyBorder="1"/>
    <xf numFmtId="10" fontId="6" fillId="2" borderId="29" xfId="0" applyNumberFormat="1" applyFont="1" applyFill="1" applyBorder="1"/>
    <xf numFmtId="0" fontId="6" fillId="5" borderId="30" xfId="0" applyFont="1" applyFill="1" applyBorder="1"/>
    <xf numFmtId="8" fontId="6" fillId="5" borderId="31" xfId="0" applyNumberFormat="1" applyFont="1" applyFill="1" applyBorder="1"/>
    <xf numFmtId="0" fontId="6" fillId="5" borderId="32" xfId="0" applyFont="1" applyFill="1" applyBorder="1"/>
    <xf numFmtId="0" fontId="1" fillId="5" borderId="33" xfId="0" applyFont="1" applyFill="1" applyBorder="1"/>
    <xf numFmtId="8" fontId="6" fillId="5" borderId="34" xfId="0" applyNumberFormat="1" applyFont="1" applyFill="1" applyBorder="1"/>
    <xf numFmtId="0" fontId="8" fillId="6" borderId="26" xfId="0" applyFont="1" applyFill="1" applyBorder="1" applyAlignment="1">
      <alignment horizontal="center" vertical="center"/>
    </xf>
    <xf numFmtId="0" fontId="6" fillId="5" borderId="35" xfId="0" applyFont="1" applyFill="1" applyBorder="1"/>
    <xf numFmtId="164" fontId="6" fillId="5" borderId="36" xfId="0" applyNumberFormat="1" applyFont="1" applyFill="1" applyBorder="1"/>
    <xf numFmtId="0" fontId="6" fillId="5" borderId="37" xfId="0" applyFont="1" applyFill="1" applyBorder="1"/>
    <xf numFmtId="164" fontId="6" fillId="5" borderId="38" xfId="0" applyNumberFormat="1" applyFont="1" applyFill="1" applyBorder="1"/>
    <xf numFmtId="0" fontId="6" fillId="5" borderId="39" xfId="0" applyFont="1" applyFill="1" applyBorder="1"/>
    <xf numFmtId="0" fontId="12" fillId="4" borderId="1" xfId="4" applyFont="1" applyFill="1"/>
    <xf numFmtId="0" fontId="11" fillId="4" borderId="1" xfId="4" applyFont="1" applyFill="1"/>
    <xf numFmtId="0" fontId="13" fillId="4" borderId="1" xfId="4" applyFont="1" applyFill="1"/>
    <xf numFmtId="0" fontId="6" fillId="2" borderId="0" xfId="0" applyFont="1" applyFill="1"/>
    <xf numFmtId="0" fontId="0" fillId="0" borderId="40" xfId="0" applyBorder="1"/>
    <xf numFmtId="0" fontId="0" fillId="0" borderId="41" xfId="0" applyBorder="1"/>
    <xf numFmtId="0" fontId="0" fillId="0" borderId="42" xfId="0" applyBorder="1"/>
    <xf numFmtId="9" fontId="0" fillId="0" borderId="42" xfId="2" applyFont="1" applyBorder="1"/>
    <xf numFmtId="0" fontId="1" fillId="2" borderId="43" xfId="0" applyFont="1" applyFill="1" applyBorder="1"/>
    <xf numFmtId="0" fontId="1" fillId="2" borderId="44" xfId="0" applyFont="1" applyFill="1" applyBorder="1"/>
    <xf numFmtId="164" fontId="6" fillId="2" borderId="45" xfId="0" applyNumberFormat="1" applyFont="1" applyFill="1" applyBorder="1"/>
    <xf numFmtId="164" fontId="6" fillId="2" borderId="46" xfId="0" applyNumberFormat="1" applyFont="1" applyFill="1" applyBorder="1"/>
    <xf numFmtId="9" fontId="1" fillId="2" borderId="44" xfId="2" applyFont="1" applyFill="1" applyBorder="1" applyAlignment="1">
      <alignment horizontal="center" vertical="center"/>
    </xf>
    <xf numFmtId="9" fontId="1" fillId="2" borderId="4" xfId="2" applyFont="1" applyFill="1" applyBorder="1" applyAlignment="1">
      <alignment horizontal="center" vertical="center"/>
    </xf>
    <xf numFmtId="0" fontId="15" fillId="8" borderId="1" xfId="4" applyFont="1" applyFill="1" applyAlignment="1">
      <alignment vertical="center"/>
    </xf>
    <xf numFmtId="0" fontId="14" fillId="0" borderId="0" xfId="0" applyFont="1"/>
    <xf numFmtId="9" fontId="0" fillId="0" borderId="0" xfId="2" applyFont="1"/>
    <xf numFmtId="0" fontId="17" fillId="8" borderId="1" xfId="4" applyFont="1" applyFill="1" applyAlignment="1"/>
    <xf numFmtId="0" fontId="17" fillId="4" borderId="1" xfId="4" applyFont="1" applyFill="1"/>
    <xf numFmtId="0" fontId="18" fillId="6" borderId="25" xfId="0" applyFont="1" applyFill="1" applyBorder="1"/>
    <xf numFmtId="0" fontId="18" fillId="6" borderId="3" xfId="0" applyFont="1" applyFill="1" applyBorder="1"/>
    <xf numFmtId="0" fontId="18" fillId="6" borderId="47" xfId="0" applyFont="1" applyFill="1" applyBorder="1" applyAlignment="1">
      <alignment horizontal="center"/>
    </xf>
    <xf numFmtId="0" fontId="18" fillId="6" borderId="26" xfId="0" applyFont="1" applyFill="1" applyBorder="1" applyAlignment="1">
      <alignment horizontal="center"/>
    </xf>
    <xf numFmtId="164" fontId="6" fillId="5" borderId="30" xfId="0" applyNumberFormat="1" applyFont="1" applyFill="1" applyBorder="1"/>
    <xf numFmtId="164" fontId="6" fillId="2" borderId="28" xfId="1" applyNumberFormat="1" applyFont="1" applyFill="1" applyBorder="1" applyAlignment="1" applyProtection="1"/>
    <xf numFmtId="0" fontId="16" fillId="4" borderId="1" xfId="4" applyFont="1" applyFill="1" applyAlignment="1" applyProtection="1">
      <alignment horizontal="center" vertical="center"/>
      <protection locked="0"/>
    </xf>
    <xf numFmtId="164" fontId="6" fillId="9" borderId="18" xfId="0" applyNumberFormat="1" applyFont="1" applyFill="1" applyBorder="1" applyProtection="1">
      <protection locked="0"/>
    </xf>
    <xf numFmtId="10" fontId="6" fillId="9" borderId="20" xfId="2" applyNumberFormat="1" applyFont="1" applyFill="1" applyBorder="1" applyProtection="1">
      <protection locked="0"/>
    </xf>
    <xf numFmtId="0" fontId="6" fillId="9" borderId="29" xfId="0" applyFont="1" applyFill="1" applyBorder="1" applyProtection="1">
      <protection locked="0"/>
    </xf>
    <xf numFmtId="10" fontId="6" fillId="9" borderId="29" xfId="0" applyNumberFormat="1" applyFont="1" applyFill="1" applyBorder="1" applyProtection="1">
      <protection locked="0"/>
    </xf>
  </cellXfs>
  <cellStyles count="5">
    <cellStyle name="Célula Vinculada" xfId="4" builtinId="24"/>
    <cellStyle name="Neutro" xfId="3" builtinId="28"/>
    <cellStyle name="Normal" xfId="0" builtinId="0"/>
    <cellStyle name="Porcentagem" xfId="2" builtinId="5"/>
    <cellStyle name="Vírgula" xfId="1" builtinId="3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5" tint="0.79998168889431442"/>
        </left>
        <right/>
        <top/>
        <bottom/>
        <vertical style="thin">
          <color theme="5" tint="0.79998168889431442"/>
        </vertical>
        <horizontal/>
      </border>
    </dxf>
    <dxf>
      <border diagonalUp="0" diagonalDown="0">
        <left style="thin">
          <color theme="5" tint="0.79998168889431442"/>
        </left>
        <right style="thin">
          <color theme="5" tint="0.79998168889431442"/>
        </right>
        <top/>
        <bottom/>
        <vertical style="thin">
          <color theme="5" tint="0.79998168889431442"/>
        </vertical>
        <horizontal/>
      </border>
    </dxf>
    <dxf>
      <border diagonalUp="0" diagonalDown="0">
        <left style="thin">
          <color theme="5" tint="0.79998168889431442"/>
        </left>
        <right style="thin">
          <color theme="5" tint="0.79998168889431442"/>
        </right>
        <top/>
        <bottom/>
        <vertical style="thin">
          <color theme="5" tint="0.79998168889431442"/>
        </vertical>
        <horizontal/>
      </border>
    </dxf>
    <dxf>
      <border diagonalUp="0" diagonalDown="0">
        <left/>
        <right style="thin">
          <color theme="5" tint="0.79998168889431442"/>
        </right>
        <top/>
        <bottom/>
        <vertical style="thin">
          <color theme="5" tint="0.79998168889431442"/>
        </vertical>
        <horizontal/>
      </border>
    </dxf>
    <dxf>
      <border diagonalUp="0" diagonalDown="0">
        <left/>
        <right/>
        <top/>
        <bottom/>
      </border>
    </dxf>
    <dxf>
      <border diagonalUp="0" diagonalDown="0">
        <left style="thin">
          <color theme="5" tint="0.79998168889431442"/>
        </left>
        <right style="thin">
          <color theme="5" tint="0.79998168889431442"/>
        </right>
        <top/>
        <bottom/>
        <vertical style="thin">
          <color theme="5" tint="0.79998168889431442"/>
        </vertical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C6EFCE"/>
      <color rgb="FF333333"/>
      <color rgb="FF2E2E2E"/>
      <color rgb="FFFA7700"/>
      <color rgb="FF9C5700"/>
      <color rgb="FFFFEB9C"/>
      <color rgb="FFF1D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Tipos de FII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Simulador!$M$3</c:f>
              <c:strCache>
                <c:ptCount val="1"/>
                <c:pt idx="0">
                  <c:v>VALORES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 cap="rnd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Simulador!$I$4:$I$9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Simulador!$M$4:$M$9</c:f>
              <c:numCache>
                <c:formatCode>"R$"\ #,##0.00</c:formatCode>
                <c:ptCount val="6"/>
                <c:pt idx="0">
                  <c:v>562.5</c:v>
                </c:pt>
                <c:pt idx="1">
                  <c:v>112.5</c:v>
                </c:pt>
                <c:pt idx="2">
                  <c:v>56.25</c:v>
                </c:pt>
                <c:pt idx="3">
                  <c:v>56.25</c:v>
                </c:pt>
                <c:pt idx="4">
                  <c:v>225</c:v>
                </c:pt>
                <c:pt idx="5">
                  <c:v>112.5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E0-496E-B83F-73D8D3626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3109808"/>
        <c:axId val="863109328"/>
      </c:barChart>
      <c:lineChart>
        <c:grouping val="standard"/>
        <c:varyColors val="0"/>
        <c:ser>
          <c:idx val="0"/>
          <c:order val="0"/>
          <c:tx>
            <c:strRef>
              <c:f>Simulador!$L$3</c:f>
              <c:strCache>
                <c:ptCount val="1"/>
                <c:pt idx="0">
                  <c:v>PERCENTUAL SUGERIDO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Simulador!$I$4:$I$9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Simulador!$L$4:$L$9</c:f>
              <c:numCache>
                <c:formatCode>0%</c:formatCode>
                <c:ptCount val="6"/>
                <c:pt idx="0">
                  <c:v>0.5</c:v>
                </c:pt>
                <c:pt idx="1">
                  <c:v>0.1</c:v>
                </c:pt>
                <c:pt idx="2">
                  <c:v>0.05</c:v>
                </c:pt>
                <c:pt idx="3">
                  <c:v>0.05</c:v>
                </c:pt>
                <c:pt idx="4">
                  <c:v>0.2</c:v>
                </c:pt>
                <c:pt idx="5">
                  <c:v>0.1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BE0-496E-B83F-73D8D3626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01399664"/>
        <c:axId val="601401104"/>
      </c:lineChart>
      <c:catAx>
        <c:axId val="86310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863109328"/>
        <c:crosses val="autoZero"/>
        <c:auto val="1"/>
        <c:lblAlgn val="ctr"/>
        <c:lblOffset val="100"/>
        <c:noMultiLvlLbl val="0"/>
      </c:catAx>
      <c:valAx>
        <c:axId val="863109328"/>
        <c:scaling>
          <c:orientation val="minMax"/>
          <c:min val="0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rgbClr val="333333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3109808"/>
        <c:crosses val="autoZero"/>
        <c:crossBetween val="between"/>
      </c:valAx>
      <c:valAx>
        <c:axId val="601401104"/>
        <c:scaling>
          <c:orientation val="minMax"/>
          <c:min val="0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2E2E2E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1399664"/>
        <c:crosses val="max"/>
        <c:crossBetween val="between"/>
      </c:valAx>
      <c:catAx>
        <c:axId val="601399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01401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openxmlformats.org/officeDocument/2006/relationships/hyperlink" Target="#Simulador!A2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specificacao!A2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Especifica&#231;&#227;o!A2"/><Relationship Id="rId2" Type="http://schemas.openxmlformats.org/officeDocument/2006/relationships/image" Target="../media/image8.svg"/><Relationship Id="rId1" Type="http://schemas.openxmlformats.org/officeDocument/2006/relationships/image" Target="../media/image2.png"/><Relationship Id="rId6" Type="http://schemas.openxmlformats.org/officeDocument/2006/relationships/chart" Target="../charts/chart1.xml"/><Relationship Id="rId5" Type="http://schemas.openxmlformats.org/officeDocument/2006/relationships/image" Target="../media/image9.sv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30</xdr:col>
      <xdr:colOff>0</xdr:colOff>
      <xdr:row>41</xdr:row>
      <xdr:rowOff>191849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A4B5E01-23B7-D8C2-10E6-788BD7351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938078" cy="9669224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0</xdr:rowOff>
    </xdr:from>
    <xdr:to>
      <xdr:col>5</xdr:col>
      <xdr:colOff>304284</xdr:colOff>
      <xdr:row>1</xdr:row>
      <xdr:rowOff>57150</xdr:rowOff>
    </xdr:to>
    <xdr:grpSp>
      <xdr:nvGrpSpPr>
        <xdr:cNvPr id="16" name="Agrupar 5">
          <a:extLst>
            <a:ext uri="{FF2B5EF4-FFF2-40B4-BE49-F238E27FC236}">
              <a16:creationId xmlns:a16="http://schemas.microsoft.com/office/drawing/2014/main" id="{C83922FB-0472-16B2-E47E-575CBD547DEA}"/>
            </a:ext>
          </a:extLst>
        </xdr:cNvPr>
        <xdr:cNvGrpSpPr/>
      </xdr:nvGrpSpPr>
      <xdr:grpSpPr>
        <a:xfrm>
          <a:off x="219075" y="0"/>
          <a:ext cx="2780784" cy="923925"/>
          <a:chOff x="219075" y="0"/>
          <a:chExt cx="2780784" cy="923925"/>
        </a:xfrm>
      </xdr:grpSpPr>
      <xdr:pic>
        <xdr:nvPicPr>
          <xdr:cNvPr id="19" name="Gráfico 2" descr="Folha com preenchimento sólido">
            <a:extLst>
              <a:ext uri="{FF2B5EF4-FFF2-40B4-BE49-F238E27FC236}">
                <a16:creationId xmlns:a16="http://schemas.microsoft.com/office/drawing/2014/main" id="{C00ADD9F-DA19-4C3F-D05D-04A35BD274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9075" y="9525"/>
            <a:ext cx="914400" cy="914400"/>
          </a:xfrm>
          <a:prstGeom prst="rect">
            <a:avLst/>
          </a:prstGeom>
        </xdr:spPr>
      </xdr:pic>
      <xdr:sp macro="" textlink="">
        <xdr:nvSpPr>
          <xdr:cNvPr id="20" name="Retângulo 3">
            <a:extLst>
              <a:ext uri="{FF2B5EF4-FFF2-40B4-BE49-F238E27FC236}">
                <a16:creationId xmlns:a16="http://schemas.microsoft.com/office/drawing/2014/main" id="{9E690D45-45B9-2AE5-2629-155C583A2A49}"/>
              </a:ext>
            </a:extLst>
          </xdr:cNvPr>
          <xdr:cNvSpPr/>
        </xdr:nvSpPr>
        <xdr:spPr>
          <a:xfrm>
            <a:off x="1292661" y="0"/>
            <a:ext cx="1243738" cy="65594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600" b="1" cap="none" spc="0">
                <a:ln w="0"/>
                <a:solidFill>
                  <a:schemeClr val="accent1">
                    <a:lumMod val="50000"/>
                  </a:schemeClr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72"/>
              </a:rPr>
              <a:t>Folha</a:t>
            </a:r>
          </a:p>
        </xdr:txBody>
      </xdr:sp>
      <xdr:sp macro="" textlink="">
        <xdr:nvSpPr>
          <xdr:cNvPr id="21" name="Retângulo 4">
            <a:extLst>
              <a:ext uri="{FF2B5EF4-FFF2-40B4-BE49-F238E27FC236}">
                <a16:creationId xmlns:a16="http://schemas.microsoft.com/office/drawing/2014/main" id="{44D995AB-E4F5-6B30-B360-4E323E213B82}"/>
              </a:ext>
            </a:extLst>
          </xdr:cNvPr>
          <xdr:cNvSpPr/>
        </xdr:nvSpPr>
        <xdr:spPr>
          <a:xfrm>
            <a:off x="829200" y="447675"/>
            <a:ext cx="2170659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accent1">
                    <a:lumMod val="50000"/>
                  </a:schemeClr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72"/>
              </a:rPr>
              <a:t>Investimentos Ltda</a:t>
            </a:r>
          </a:p>
        </xdr:txBody>
      </xdr:sp>
    </xdr:grpSp>
    <xdr:clientData/>
  </xdr:twoCellAnchor>
  <xdr:twoCellAnchor editAs="absolute">
    <xdr:from>
      <xdr:col>8</xdr:col>
      <xdr:colOff>381001</xdr:colOff>
      <xdr:row>0</xdr:row>
      <xdr:rowOff>114300</xdr:rowOff>
    </xdr:from>
    <xdr:to>
      <xdr:col>11</xdr:col>
      <xdr:colOff>247651</xdr:colOff>
      <xdr:row>0</xdr:row>
      <xdr:rowOff>781050</xdr:rowOff>
    </xdr:to>
    <xdr:grpSp>
      <xdr:nvGrpSpPr>
        <xdr:cNvPr id="18" name="Agrupar 17">
          <a:hlinkClick xmlns:r="http://schemas.openxmlformats.org/officeDocument/2006/relationships" r:id="rId4" tooltip="Clique para ir ao Simulador"/>
          <a:extLst>
            <a:ext uri="{FF2B5EF4-FFF2-40B4-BE49-F238E27FC236}">
              <a16:creationId xmlns:a16="http://schemas.microsoft.com/office/drawing/2014/main" id="{ACD5E2B5-41B5-C4B2-2F4D-D3FD17132CC4}"/>
            </a:ext>
          </a:extLst>
        </xdr:cNvPr>
        <xdr:cNvGrpSpPr/>
      </xdr:nvGrpSpPr>
      <xdr:grpSpPr>
        <a:xfrm>
          <a:off x="4905376" y="114300"/>
          <a:ext cx="1695450" cy="666750"/>
          <a:chOff x="4905376" y="114300"/>
          <a:chExt cx="1695450" cy="666750"/>
        </a:xfrm>
      </xdr:grpSpPr>
      <xdr:pic>
        <xdr:nvPicPr>
          <xdr:cNvPr id="10" name="Gráfico 9" descr="Gráfico de barras com tendência ascendente com preenchimento sólido">
            <a:extLst>
              <a:ext uri="{FF2B5EF4-FFF2-40B4-BE49-F238E27FC236}">
                <a16:creationId xmlns:a16="http://schemas.microsoft.com/office/drawing/2014/main" id="{E8848742-9BDB-7C84-7AC3-68E9A43CE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991101" y="209550"/>
            <a:ext cx="476250" cy="476250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19A7550A-0537-C78F-7E67-9E213C6E0EC5}"/>
              </a:ext>
            </a:extLst>
          </xdr:cNvPr>
          <xdr:cNvSpPr/>
        </xdr:nvSpPr>
        <xdr:spPr>
          <a:xfrm>
            <a:off x="4905376" y="114300"/>
            <a:ext cx="1695450" cy="666750"/>
          </a:xfrm>
          <a:prstGeom prst="round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800">
                <a:latin typeface="72"/>
              </a:rPr>
              <a:t>   </a:t>
            </a:r>
            <a:r>
              <a:rPr lang="pt-BR" sz="1800">
                <a:solidFill>
                  <a:schemeClr val="tx2"/>
                </a:solidFill>
                <a:latin typeface="72"/>
              </a:rPr>
              <a:t>Simulador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219075</xdr:colOff>
      <xdr:row>0</xdr:row>
      <xdr:rowOff>0</xdr:rowOff>
    </xdr:from>
    <xdr:to>
      <xdr:col>4</xdr:col>
      <xdr:colOff>113784</xdr:colOff>
      <xdr:row>1</xdr:row>
      <xdr:rowOff>57150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0B7EDD0-B40C-4D96-93D1-2794BF403BE0}"/>
            </a:ext>
          </a:extLst>
        </xdr:cNvPr>
        <xdr:cNvGrpSpPr/>
      </xdr:nvGrpSpPr>
      <xdr:grpSpPr>
        <a:xfrm>
          <a:off x="219075" y="0"/>
          <a:ext cx="2780784" cy="923925"/>
          <a:chOff x="219075" y="0"/>
          <a:chExt cx="2780784" cy="923925"/>
        </a:xfrm>
      </xdr:grpSpPr>
      <xdr:pic>
        <xdr:nvPicPr>
          <xdr:cNvPr id="3" name="Gráfico 2" descr="Folha com preenchimento sólido">
            <a:extLst>
              <a:ext uri="{FF2B5EF4-FFF2-40B4-BE49-F238E27FC236}">
                <a16:creationId xmlns:a16="http://schemas.microsoft.com/office/drawing/2014/main" id="{6AF0E94A-7A90-48F3-A2B2-F4A4356038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19075" y="9525"/>
            <a:ext cx="914400" cy="914400"/>
          </a:xfrm>
          <a:prstGeom prst="rect">
            <a:avLst/>
          </a:prstGeom>
        </xdr:spPr>
      </xdr:pic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B52AC7F7-CB0B-D4F6-6859-74989DC820E4}"/>
              </a:ext>
            </a:extLst>
          </xdr:cNvPr>
          <xdr:cNvSpPr/>
        </xdr:nvSpPr>
        <xdr:spPr>
          <a:xfrm>
            <a:off x="1292661" y="0"/>
            <a:ext cx="1243738" cy="65594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600" b="1" cap="none" spc="0">
                <a:ln w="0"/>
                <a:solidFill>
                  <a:schemeClr val="accent1">
                    <a:lumMod val="50000"/>
                  </a:schemeClr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72"/>
              </a:rPr>
              <a:t>Folha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99CFFE5-5B82-A36E-D157-392FCE212E6A}"/>
              </a:ext>
            </a:extLst>
          </xdr:cNvPr>
          <xdr:cNvSpPr/>
        </xdr:nvSpPr>
        <xdr:spPr>
          <a:xfrm>
            <a:off x="829200" y="447675"/>
            <a:ext cx="2170659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accent1">
                    <a:lumMod val="50000"/>
                  </a:schemeClr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72"/>
              </a:rPr>
              <a:t>Investimentos Ltda</a:t>
            </a:r>
          </a:p>
        </xdr:txBody>
      </xdr:sp>
    </xdr:grpSp>
    <xdr:clientData/>
  </xdr:twoCellAnchor>
  <xdr:twoCellAnchor editAs="absolute">
    <xdr:from>
      <xdr:col>4</xdr:col>
      <xdr:colOff>971550</xdr:colOff>
      <xdr:row>0</xdr:row>
      <xdr:rowOff>276225</xdr:rowOff>
    </xdr:from>
    <xdr:to>
      <xdr:col>4</xdr:col>
      <xdr:colOff>1446750</xdr:colOff>
      <xdr:row>0</xdr:row>
      <xdr:rowOff>751425</xdr:rowOff>
    </xdr:to>
    <xdr:pic>
      <xdr:nvPicPr>
        <xdr:cNvPr id="10" name="Gráfico 9" descr="Seta: retorno na horizontal com preenchimento sólido">
          <a:hlinkClick xmlns:r="http://schemas.openxmlformats.org/officeDocument/2006/relationships" r:id="rId3" tooltip="Voltar à especificação"/>
          <a:extLst>
            <a:ext uri="{FF2B5EF4-FFF2-40B4-BE49-F238E27FC236}">
              <a16:creationId xmlns:a16="http://schemas.microsoft.com/office/drawing/2014/main" id="{41C423DB-0E2B-4929-ED74-EBE3A3804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857625" y="276225"/>
          <a:ext cx="475200" cy="475200"/>
        </a:xfrm>
        <a:prstGeom prst="rect">
          <a:avLst/>
        </a:prstGeom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219075</xdr:colOff>
      <xdr:row>0</xdr:row>
      <xdr:rowOff>0</xdr:rowOff>
    </xdr:from>
    <xdr:to>
      <xdr:col>4</xdr:col>
      <xdr:colOff>113784</xdr:colOff>
      <xdr:row>1</xdr:row>
      <xdr:rowOff>57150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8B967C6-B19A-4E33-8769-EEE9ACD6CA2E}"/>
            </a:ext>
          </a:extLst>
        </xdr:cNvPr>
        <xdr:cNvGrpSpPr/>
      </xdr:nvGrpSpPr>
      <xdr:grpSpPr>
        <a:xfrm>
          <a:off x="219075" y="0"/>
          <a:ext cx="2780784" cy="923925"/>
          <a:chOff x="219075" y="0"/>
          <a:chExt cx="2780784" cy="923925"/>
        </a:xfrm>
      </xdr:grpSpPr>
      <xdr:pic>
        <xdr:nvPicPr>
          <xdr:cNvPr id="3" name="Gráfico 2" descr="Folha com preenchimento sólido">
            <a:extLst>
              <a:ext uri="{FF2B5EF4-FFF2-40B4-BE49-F238E27FC236}">
                <a16:creationId xmlns:a16="http://schemas.microsoft.com/office/drawing/2014/main" id="{693C5978-85C3-18DF-C963-EDD8D9B32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19075" y="9525"/>
            <a:ext cx="914400" cy="914400"/>
          </a:xfrm>
          <a:prstGeom prst="rect">
            <a:avLst/>
          </a:prstGeom>
        </xdr:spPr>
      </xdr:pic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CF6C16BA-6552-2B6C-7376-52DDE8AE933F}"/>
              </a:ext>
            </a:extLst>
          </xdr:cNvPr>
          <xdr:cNvSpPr/>
        </xdr:nvSpPr>
        <xdr:spPr>
          <a:xfrm>
            <a:off x="1292661" y="0"/>
            <a:ext cx="1243738" cy="65594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600" b="1" cap="none" spc="0">
                <a:ln w="0"/>
                <a:solidFill>
                  <a:schemeClr val="accent1">
                    <a:lumMod val="50000"/>
                  </a:schemeClr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72"/>
              </a:rPr>
              <a:t>Folha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506F2526-B8D6-16E2-4793-73257F57A808}"/>
              </a:ext>
            </a:extLst>
          </xdr:cNvPr>
          <xdr:cNvSpPr/>
        </xdr:nvSpPr>
        <xdr:spPr>
          <a:xfrm>
            <a:off x="829200" y="447675"/>
            <a:ext cx="2170659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accent1">
                    <a:lumMod val="50000"/>
                  </a:schemeClr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72"/>
              </a:rPr>
              <a:t>Investimentos Ltda</a:t>
            </a:r>
          </a:p>
        </xdr:txBody>
      </xdr:sp>
    </xdr:grpSp>
    <xdr:clientData/>
  </xdr:twoCellAnchor>
  <xdr:twoCellAnchor editAs="absolute">
    <xdr:from>
      <xdr:col>5</xdr:col>
      <xdr:colOff>285750</xdr:colOff>
      <xdr:row>0</xdr:row>
      <xdr:rowOff>209550</xdr:rowOff>
    </xdr:from>
    <xdr:to>
      <xdr:col>5</xdr:col>
      <xdr:colOff>760950</xdr:colOff>
      <xdr:row>0</xdr:row>
      <xdr:rowOff>684750</xdr:rowOff>
    </xdr:to>
    <xdr:pic>
      <xdr:nvPicPr>
        <xdr:cNvPr id="6" name="Gráfico 5" descr="Seta: retorno na horizontal com preenchimento sólido">
          <a:hlinkClick xmlns:r="http://schemas.openxmlformats.org/officeDocument/2006/relationships" r:id="rId3" tooltip="Voltar à especificação"/>
          <a:extLst>
            <a:ext uri="{FF2B5EF4-FFF2-40B4-BE49-F238E27FC236}">
              <a16:creationId xmlns:a16="http://schemas.microsoft.com/office/drawing/2014/main" id="{58B6E2B3-2962-40D7-9970-26F61F833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67300" y="209550"/>
          <a:ext cx="475200" cy="475200"/>
        </a:xfrm>
        <a:prstGeom prst="rect">
          <a:avLst/>
        </a:prstGeom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</xdr:pic>
    <xdr:clientData/>
  </xdr:twoCellAnchor>
  <xdr:twoCellAnchor editAs="absolute">
    <xdr:from>
      <xdr:col>4</xdr:col>
      <xdr:colOff>1345787</xdr:colOff>
      <xdr:row>7</xdr:row>
      <xdr:rowOff>35717</xdr:rowOff>
    </xdr:from>
    <xdr:to>
      <xdr:col>4</xdr:col>
      <xdr:colOff>1826020</xdr:colOff>
      <xdr:row>7</xdr:row>
      <xdr:rowOff>297654</xdr:rowOff>
    </xdr:to>
    <xdr:sp macro="" textlink="">
      <xdr:nvSpPr>
        <xdr:cNvPr id="10" name="Seta" descr="Seta: reta com preenchimento sólido">
          <a:extLst>
            <a:ext uri="{FF2B5EF4-FFF2-40B4-BE49-F238E27FC236}">
              <a16:creationId xmlns:a16="http://schemas.microsoft.com/office/drawing/2014/main" id="{7DB8E1E0-3245-1200-4A97-26788A6771F5}"/>
            </a:ext>
          </a:extLst>
        </xdr:cNvPr>
        <xdr:cNvSpPr/>
      </xdr:nvSpPr>
      <xdr:spPr>
        <a:xfrm flipH="1">
          <a:off x="4231862" y="2369342"/>
          <a:ext cx="480233" cy="261937"/>
        </a:xfrm>
        <a:custGeom>
          <a:avLst/>
          <a:gdLst>
            <a:gd name="connsiteX0" fmla="*/ 130984 w 480233"/>
            <a:gd name="connsiteY0" fmla="*/ 65484 h 261937"/>
            <a:gd name="connsiteX1" fmla="*/ 130984 w 480233"/>
            <a:gd name="connsiteY1" fmla="*/ 0 h 261937"/>
            <a:gd name="connsiteX2" fmla="*/ 15 w 480233"/>
            <a:gd name="connsiteY2" fmla="*/ 130969 h 261937"/>
            <a:gd name="connsiteX3" fmla="*/ 130984 w 480233"/>
            <a:gd name="connsiteY3" fmla="*/ 261938 h 261937"/>
            <a:gd name="connsiteX4" fmla="*/ 130984 w 480233"/>
            <a:gd name="connsiteY4" fmla="*/ 196453 h 261937"/>
            <a:gd name="connsiteX5" fmla="*/ 480234 w 480233"/>
            <a:gd name="connsiteY5" fmla="*/ 130969 h 261937"/>
            <a:gd name="connsiteX6" fmla="*/ 130984 w 480233"/>
            <a:gd name="connsiteY6" fmla="*/ 65484 h 2619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80233" h="261937">
              <a:moveTo>
                <a:pt x="130984" y="65484"/>
              </a:moveTo>
              <a:lnTo>
                <a:pt x="130984" y="0"/>
              </a:lnTo>
              <a:lnTo>
                <a:pt x="15" y="130969"/>
              </a:lnTo>
              <a:cubicBezTo>
                <a:pt x="-1622" y="130969"/>
                <a:pt x="130984" y="261938"/>
                <a:pt x="130984" y="261938"/>
              </a:cubicBezTo>
              <a:lnTo>
                <a:pt x="130984" y="196453"/>
              </a:lnTo>
              <a:lnTo>
                <a:pt x="480234" y="130969"/>
              </a:lnTo>
              <a:lnTo>
                <a:pt x="130984" y="65484"/>
              </a:lnTo>
              <a:close/>
            </a:path>
          </a:pathLst>
        </a:custGeom>
        <a:solidFill>
          <a:srgbClr val="006100"/>
        </a:solidFill>
        <a:ln w="5457" cap="flat">
          <a:noFill/>
          <a:prstDash val="solid"/>
          <a:miter/>
        </a:ln>
      </xdr:spPr>
      <xdr:txBody>
        <a:bodyPr rtlCol="0" anchor="ctr"/>
        <a:lstStyle/>
        <a:p>
          <a:endParaRPr lang="pt-BR"/>
        </a:p>
      </xdr:txBody>
    </xdr:sp>
    <xdr:clientData/>
  </xdr:twoCellAnchor>
  <xdr:twoCellAnchor editAs="absolute">
    <xdr:from>
      <xdr:col>7</xdr:col>
      <xdr:colOff>234950</xdr:colOff>
      <xdr:row>1</xdr:row>
      <xdr:rowOff>187325</xdr:rowOff>
    </xdr:from>
    <xdr:to>
      <xdr:col>18</xdr:col>
      <xdr:colOff>587375</xdr:colOff>
      <xdr:row>16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342F325-E8F4-E85B-E96D-EE573FAC0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4FA6FC-C78E-4D7F-AA84-EDBADF441319}" name="TabPerfil" displayName="TabPerfil" ref="A2:D20" totalsRowShown="0" headerRowDxfId="5" tableBorderDxfId="4">
  <autoFilter ref="A2:D20" xr:uid="{AA4FA6FC-C78E-4D7F-AA84-EDBADF441319}"/>
  <tableColumns count="4">
    <tableColumn id="1" xr3:uid="{DAD484E9-75FD-46D9-9136-2DDC822C5CB4}" name="CHAVE" dataDxfId="3">
      <calculatedColumnFormula>_xlfn.CONCAT(B3," - ",C3)</calculatedColumnFormula>
    </tableColumn>
    <tableColumn id="2" xr3:uid="{D620950F-5709-42ED-92FA-C4B8ADD2D14D}" name="PERFIL" dataDxfId="2"/>
    <tableColumn id="3" xr3:uid="{B890196D-7917-4F07-8B86-ED9D807CDF6A}" name="TIPO DE FII" dataDxfId="1"/>
    <tableColumn id="4" xr3:uid="{6C8A4154-61E5-4797-8248-EF8A303B4A1E}" name="%" dataDxfId="0" dataCellStyle="Porcentagem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67BDEA-4364-4326-9A78-2EA234F1BF1B}" name="TabPorcInv" displayName="TabPorcInv" ref="F2:G5" totalsRowShown="0">
  <autoFilter ref="F2:G5" xr:uid="{B067BDEA-4364-4326-9A78-2EA234F1BF1B}"/>
  <tableColumns count="2">
    <tableColumn id="1" xr3:uid="{D24BE8A7-F96C-40C7-A16D-E5F2C5327C1B}" name="PERFIL"/>
    <tableColumn id="2" xr3:uid="{33B19D05-381A-44B1-9CD1-340058E2F6C7}" name="% A SER INVESTIDO" dataCellStyle="Porcentagem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05302-8198-42DE-9954-565CA39B712E}">
  <sheetPr codeName="Planilha1"/>
  <dimension ref="A1:AD58"/>
  <sheetViews>
    <sheetView showGridLines="0" showRowColHeaders="0" tabSelected="1" workbookViewId="0">
      <selection activeCell="A2" sqref="A2"/>
    </sheetView>
  </sheetViews>
  <sheetFormatPr defaultColWidth="0" defaultRowHeight="15.75" zeroHeight="1" x14ac:dyDescent="0.25"/>
  <cols>
    <col min="1" max="1" width="3.85546875" style="2" customWidth="1"/>
    <col min="2" max="30" width="9.140625" style="2" customWidth="1"/>
    <col min="31" max="16384" width="9.140625" style="2" hidden="1"/>
  </cols>
  <sheetData>
    <row r="1" spans="1:30" ht="68.25" customHeight="1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6.5" thickTop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6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2.5" customHeight="1" thickBot="1" x14ac:dyDescent="0.3">
      <c r="A4" s="1"/>
      <c r="B4" s="4" t="s">
        <v>0</v>
      </c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ht="21" customHeight="1" x14ac:dyDescent="0.25">
      <c r="A5" s="1"/>
      <c r="B5" s="1" t="s">
        <v>49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ht="21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ht="22.5" customHeight="1" thickBot="1" x14ac:dyDescent="0.3">
      <c r="A7" s="1"/>
      <c r="B7" s="4" t="s">
        <v>50</v>
      </c>
      <c r="C7" s="5"/>
      <c r="D7" s="5"/>
      <c r="E7" s="5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ht="21" customHeight="1" x14ac:dyDescent="0.25">
      <c r="A8" s="1"/>
      <c r="B8" s="1" t="s">
        <v>51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ht="21" customHeight="1" x14ac:dyDescent="0.25">
      <c r="A9" s="1"/>
      <c r="B9" s="1" t="s">
        <v>52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ht="22.5" customHeight="1" thickBot="1" x14ac:dyDescent="0.3">
      <c r="A11" s="1"/>
      <c r="B11" s="4" t="s">
        <v>1</v>
      </c>
      <c r="C11" s="5"/>
      <c r="D11" s="5"/>
      <c r="E11" s="5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ht="21" customHeight="1" x14ac:dyDescent="0.25">
      <c r="A12" s="1"/>
      <c r="B12" s="1" t="s">
        <v>2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 t="s">
        <v>3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1"/>
      <c r="B14" s="1" t="s">
        <v>4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25">
      <c r="A15" s="1"/>
      <c r="B15" s="1" t="s">
        <v>10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25">
      <c r="A16" s="1"/>
      <c r="B16" s="1" t="s">
        <v>5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1:3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1:3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1:3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1:3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1:3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3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="2" customFormat="1" hidden="1" x14ac:dyDescent="0.25"/>
    <row r="50" s="2" customFormat="1" hidden="1" x14ac:dyDescent="0.25"/>
    <row r="51" s="2" customFormat="1" hidden="1" x14ac:dyDescent="0.25"/>
    <row r="52" s="2" customFormat="1" hidden="1" x14ac:dyDescent="0.25"/>
    <row r="53" s="2" customFormat="1" hidden="1" x14ac:dyDescent="0.25"/>
    <row r="54" s="2" customFormat="1" hidden="1" x14ac:dyDescent="0.25"/>
    <row r="55" s="2" customFormat="1" hidden="1" x14ac:dyDescent="0.25"/>
    <row r="56" s="2" customFormat="1" hidden="1" x14ac:dyDescent="0.25"/>
    <row r="57" s="2" customFormat="1" hidden="1" x14ac:dyDescent="0.25"/>
    <row r="58" s="2" customFormat="1" hidden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6DD34-0A1F-4C62-A3BE-0FE3FFF05E64}">
  <sheetPr codeName="Planilha2"/>
  <dimension ref="A1:AB56"/>
  <sheetViews>
    <sheetView showGridLines="0" workbookViewId="0">
      <selection activeCell="L4" sqref="L4"/>
    </sheetView>
  </sheetViews>
  <sheetFormatPr defaultRowHeight="15.75" zeroHeight="1" x14ac:dyDescent="0.25"/>
  <cols>
    <col min="1" max="1" width="3.85546875" style="2" customWidth="1"/>
    <col min="2" max="4" width="13.140625" style="2" customWidth="1"/>
    <col min="5" max="5" width="28.42578125" style="2" bestFit="1" customWidth="1"/>
    <col min="6" max="6" width="18.28515625" style="2" bestFit="1" customWidth="1"/>
    <col min="7" max="7" width="7.28515625" style="2" customWidth="1"/>
    <col min="8" max="8" width="9.28515625" style="2" customWidth="1"/>
    <col min="9" max="9" width="13.5703125" style="2" bestFit="1" customWidth="1"/>
    <col min="10" max="10" width="9.140625" style="2"/>
    <col min="11" max="11" width="29.28515625" style="2" bestFit="1" customWidth="1"/>
    <col min="12" max="12" width="15" style="2" bestFit="1" customWidth="1"/>
    <col min="13" max="16384" width="9.140625" style="2"/>
  </cols>
  <sheetData>
    <row r="1" spans="1:28" ht="68.25" customHeight="1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ht="16.5" customHeight="1" thickTop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6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26.25" customHeight="1" thickBot="1" x14ac:dyDescent="0.3">
      <c r="A4" s="1"/>
      <c r="B4" s="28" t="s">
        <v>20</v>
      </c>
      <c r="C4" s="18"/>
      <c r="D4" s="18"/>
      <c r="E4" s="18"/>
      <c r="F4" s="29"/>
      <c r="G4" s="1"/>
      <c r="H4" s="48" t="s">
        <v>24</v>
      </c>
      <c r="I4" s="47"/>
      <c r="J4" s="47"/>
      <c r="K4" s="47"/>
      <c r="L4" s="49" t="s">
        <v>36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21" customHeight="1" x14ac:dyDescent="0.25">
      <c r="A5" s="1"/>
      <c r="B5" s="21" t="s">
        <v>21</v>
      </c>
      <c r="C5" s="22"/>
      <c r="D5" s="22"/>
      <c r="E5" s="22"/>
      <c r="F5" s="23">
        <v>5000</v>
      </c>
      <c r="G5" s="1"/>
      <c r="H5" s="50" t="s">
        <v>26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21" customHeight="1" x14ac:dyDescent="0.25">
      <c r="A6" s="1"/>
      <c r="B6" s="24" t="s">
        <v>22</v>
      </c>
      <c r="C6" s="6"/>
      <c r="D6" s="6"/>
      <c r="E6" s="20"/>
      <c r="F6" s="25">
        <v>6.0000000000000001E-3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21" customHeight="1" x14ac:dyDescent="0.25">
      <c r="A7" s="1"/>
      <c r="B7" s="26" t="s">
        <v>23</v>
      </c>
      <c r="C7" s="19"/>
      <c r="D7" s="19"/>
      <c r="E7" s="19"/>
      <c r="F7" s="27">
        <f>F5*0.3</f>
        <v>1500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6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26.25" customHeight="1" thickBot="1" x14ac:dyDescent="0.3">
      <c r="A9" s="1"/>
      <c r="B9" s="30" t="s">
        <v>6</v>
      </c>
      <c r="C9" s="8"/>
      <c r="D9" s="8"/>
      <c r="E9" s="8"/>
      <c r="F9" s="31"/>
      <c r="G9" s="1"/>
      <c r="H9" s="48" t="s">
        <v>27</v>
      </c>
      <c r="I9" s="48"/>
      <c r="J9" s="48"/>
      <c r="K9" s="48" t="s">
        <v>28</v>
      </c>
      <c r="L9" s="48" t="s">
        <v>29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21" customHeight="1" thickTop="1" x14ac:dyDescent="0.25">
      <c r="A10" s="1"/>
      <c r="B10" s="32" t="s">
        <v>7</v>
      </c>
      <c r="C10" s="1"/>
      <c r="D10" s="1"/>
      <c r="E10" s="1"/>
      <c r="F10" s="33">
        <v>500</v>
      </c>
      <c r="G10" s="1"/>
      <c r="H10" s="55" t="s">
        <v>30</v>
      </c>
      <c r="I10" s="56"/>
      <c r="J10" s="56"/>
      <c r="K10" s="59">
        <f>VLOOKUP($L$4 &amp; " - " &amp; $H10,TabPerfil[],4,0)</f>
        <v>0.3</v>
      </c>
      <c r="L10" s="57">
        <f t="shared" ref="L10:L15" si="0">Vlr_Aportado*K10</f>
        <v>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21" customHeight="1" x14ac:dyDescent="0.25">
      <c r="A11" s="1"/>
      <c r="B11" s="24" t="s">
        <v>8</v>
      </c>
      <c r="C11" s="6"/>
      <c r="D11" s="6"/>
      <c r="E11" s="6"/>
      <c r="F11" s="34">
        <v>5</v>
      </c>
      <c r="G11" s="1"/>
      <c r="H11" s="24" t="s">
        <v>31</v>
      </c>
      <c r="I11" s="6"/>
      <c r="J11" s="6"/>
      <c r="K11" s="60">
        <f>VLOOKUP($L$4 &amp; " - " &amp; $H11,TabPerfil[],4,0)</f>
        <v>0.5</v>
      </c>
      <c r="L11" s="58">
        <f t="shared" si="0"/>
        <v>0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21" customHeight="1" x14ac:dyDescent="0.25">
      <c r="A12" s="1"/>
      <c r="B12" s="24" t="s">
        <v>9</v>
      </c>
      <c r="C12" s="6"/>
      <c r="D12" s="6"/>
      <c r="E12" s="6"/>
      <c r="F12" s="35">
        <v>1.0789999999999999E-2</v>
      </c>
      <c r="G12" s="1"/>
      <c r="H12" s="24" t="s">
        <v>32</v>
      </c>
      <c r="I12" s="6"/>
      <c r="J12" s="6"/>
      <c r="K12" s="60">
        <f>VLOOKUP($L$4 &amp; " - " &amp; $H12,TabPerfil[],4,0)</f>
        <v>0.1</v>
      </c>
      <c r="L12" s="58">
        <f t="shared" si="0"/>
        <v>0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21" customHeight="1" x14ac:dyDescent="0.25">
      <c r="A13" s="1"/>
      <c r="B13" s="36" t="s">
        <v>11</v>
      </c>
      <c r="C13" s="7"/>
      <c r="D13" s="7"/>
      <c r="E13" s="7"/>
      <c r="F13" s="37">
        <f>FV(Taxa_Mensal,(Qtd_Anos*12),(Aporte*(-1)))</f>
        <v>41888.456999243819</v>
      </c>
      <c r="G13" s="1"/>
      <c r="H13" s="24" t="s">
        <v>33</v>
      </c>
      <c r="I13" s="6"/>
      <c r="J13" s="6"/>
      <c r="K13" s="60">
        <f>VLOOKUP($L$4 &amp; " - " &amp; $H13,TabPerfil[],4,0)</f>
        <v>0.1</v>
      </c>
      <c r="L13" s="58">
        <f t="shared" si="0"/>
        <v>0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21" customHeight="1" x14ac:dyDescent="0.25">
      <c r="A14" s="1"/>
      <c r="B14" s="38" t="s">
        <v>12</v>
      </c>
      <c r="C14" s="39"/>
      <c r="D14" s="39"/>
      <c r="E14" s="39"/>
      <c r="F14" s="40">
        <f>Patrimonio*1%</f>
        <v>418.88456999243817</v>
      </c>
      <c r="G14" s="1"/>
      <c r="H14" s="24" t="s">
        <v>34</v>
      </c>
      <c r="I14" s="6"/>
      <c r="J14" s="6"/>
      <c r="K14" s="60">
        <f>VLOOKUP($L$4 &amp; " - " &amp; $H14,TabPerfil[],4,0)</f>
        <v>0</v>
      </c>
      <c r="L14" s="58">
        <f t="shared" si="0"/>
        <v>0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21" customHeight="1" x14ac:dyDescent="0.25">
      <c r="A15" s="1"/>
      <c r="B15" s="1"/>
      <c r="C15" s="1"/>
      <c r="D15" s="1"/>
      <c r="E15" s="1"/>
      <c r="F15" s="1"/>
      <c r="G15" s="1"/>
      <c r="H15" s="24" t="s">
        <v>35</v>
      </c>
      <c r="I15" s="6"/>
      <c r="J15" s="6"/>
      <c r="K15" s="60">
        <f>VLOOKUP($L$4 &amp; " - " &amp; $H15,TabPerfil[],4,0)</f>
        <v>0</v>
      </c>
      <c r="L15" s="58">
        <f t="shared" si="0"/>
        <v>0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26.25" customHeight="1" thickBot="1" x14ac:dyDescent="0.3">
      <c r="A16" s="1"/>
      <c r="B16" s="30" t="s">
        <v>13</v>
      </c>
      <c r="C16" s="10"/>
      <c r="D16" s="10"/>
      <c r="E16" s="10"/>
      <c r="F16" s="41" t="s">
        <v>19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8" ht="21" customHeight="1" thickBot="1" x14ac:dyDescent="0.3">
      <c r="A17" s="9">
        <v>2</v>
      </c>
      <c r="B17" s="42" t="s">
        <v>14</v>
      </c>
      <c r="C17" s="11"/>
      <c r="D17" s="11"/>
      <c r="E17" s="16">
        <f>FV(Taxa_Mensal,($A17*12),(Aporte*(-1)))</f>
        <v>13613.813648822608</v>
      </c>
      <c r="F17" s="43">
        <f>E17*Rendimento_Carteira</f>
        <v>81.682881892935654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8" ht="21" customHeight="1" thickBot="1" x14ac:dyDescent="0.3">
      <c r="A18" s="9">
        <v>5</v>
      </c>
      <c r="B18" s="44" t="s">
        <v>15</v>
      </c>
      <c r="C18" s="15"/>
      <c r="D18" s="13"/>
      <c r="E18" s="14">
        <f>FV(Taxa_Mensal,($A18*12),(Aporte*(-1)))</f>
        <v>41888.456999243819</v>
      </c>
      <c r="F18" s="45">
        <f>E18*Rendimento_Carteira</f>
        <v>251.33074199546292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8" ht="21" customHeight="1" thickBot="1" x14ac:dyDescent="0.3">
      <c r="A19" s="9">
        <v>10</v>
      </c>
      <c r="B19" s="44" t="s">
        <v>16</v>
      </c>
      <c r="C19" s="15"/>
      <c r="D19" s="13"/>
      <c r="E19" s="14">
        <f>FV(Taxa_Mensal,($A19*12),(Aporte*(-1)))</f>
        <v>121642.1062650861</v>
      </c>
      <c r="F19" s="45">
        <f>E19*Rendimento_Carteira</f>
        <v>729.85263759051657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8" ht="21" customHeight="1" thickBot="1" x14ac:dyDescent="0.3">
      <c r="A20" s="9">
        <v>20</v>
      </c>
      <c r="B20" s="44" t="s">
        <v>17</v>
      </c>
      <c r="C20" s="15"/>
      <c r="D20" s="13"/>
      <c r="E20" s="14">
        <f>FV(Taxa_Mensal,($A20*12),(Aporte*(-1)))</f>
        <v>562599.20004854025</v>
      </c>
      <c r="F20" s="45">
        <f>E20*Rendimento_Carteira</f>
        <v>3375.5952002912418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8" ht="21" customHeight="1" thickBot="1" x14ac:dyDescent="0.3">
      <c r="A21" s="9">
        <v>30</v>
      </c>
      <c r="B21" s="46" t="s">
        <v>18</v>
      </c>
      <c r="C21" s="12"/>
      <c r="D21" s="12"/>
      <c r="E21" s="17">
        <f>FV(Taxa_Mensal,($A21*12),(Aporte*(-1)))</f>
        <v>2161084.8275023573</v>
      </c>
      <c r="F21" s="45">
        <f>E21*Rendimento_Carteira</f>
        <v>12966.508965014144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8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idden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idden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idden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idden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idden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idden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idden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idden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idden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idden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idden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idden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idden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idden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idden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idden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idden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idden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</sheetData>
  <dataValidations count="1">
    <dataValidation type="list" allowBlank="1" showInputMessage="1" showErrorMessage="1" sqref="K4:L4" xr:uid="{CCE1F4E7-F9CA-49D0-9C54-A7E3E50D0305}">
      <formula1>"CONSERVADOR,MODERADO,AGRESSIVO"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99D6F-6F34-4758-A0C8-7096DCA94DFC}">
  <sheetPr codeName="Planilha3"/>
  <dimension ref="A1:AB70"/>
  <sheetViews>
    <sheetView showGridLines="0" showRowColHeaders="0" zoomScaleNormal="100" workbookViewId="0">
      <selection activeCell="F8" sqref="F8"/>
    </sheetView>
  </sheetViews>
  <sheetFormatPr defaultRowHeight="0" customHeight="1" zeroHeight="1" x14ac:dyDescent="0.25"/>
  <cols>
    <col min="1" max="1" width="3.85546875" style="2" customWidth="1"/>
    <col min="2" max="4" width="13.140625" style="2" customWidth="1"/>
    <col min="5" max="5" width="28.42578125" style="2" bestFit="1" customWidth="1"/>
    <col min="6" max="6" width="18.28515625" style="2" bestFit="1" customWidth="1"/>
    <col min="7" max="7" width="7.28515625" style="2" customWidth="1"/>
    <col min="8" max="8" width="9.28515625" style="2" customWidth="1"/>
    <col min="9" max="9" width="13.5703125" style="2" bestFit="1" customWidth="1"/>
    <col min="10" max="10" width="9.140625" style="2"/>
    <col min="11" max="11" width="9.140625" style="2" customWidth="1"/>
    <col min="12" max="12" width="27.5703125" style="2" bestFit="1" customWidth="1"/>
    <col min="13" max="13" width="11.7109375" style="2" bestFit="1" customWidth="1"/>
    <col min="14" max="16384" width="9.140625" style="2"/>
  </cols>
  <sheetData>
    <row r="1" spans="1:28" ht="68.25" customHeight="1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ht="16.5" customHeight="1" thickTop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26.25" customHeight="1" thickBot="1" x14ac:dyDescent="0.4">
      <c r="A3" s="1"/>
      <c r="B3" s="64" t="s">
        <v>48</v>
      </c>
      <c r="C3" s="61"/>
      <c r="D3" s="61"/>
      <c r="E3" s="61"/>
      <c r="F3" s="61"/>
      <c r="G3" s="1"/>
      <c r="H3" s="1"/>
      <c r="I3" s="48" t="s">
        <v>27</v>
      </c>
      <c r="J3" s="48"/>
      <c r="K3" s="48"/>
      <c r="L3" s="48" t="s">
        <v>28</v>
      </c>
      <c r="M3" s="48" t="s">
        <v>29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8.75" customHeight="1" thickTop="1" x14ac:dyDescent="0.25">
      <c r="A4" s="1"/>
      <c r="B4" s="21" t="s">
        <v>46</v>
      </c>
      <c r="C4" s="22"/>
      <c r="D4" s="22"/>
      <c r="E4" s="22"/>
      <c r="F4" s="73">
        <v>3750</v>
      </c>
      <c r="G4" s="1"/>
      <c r="H4" s="1"/>
      <c r="I4" s="55" t="s">
        <v>30</v>
      </c>
      <c r="J4" s="56"/>
      <c r="K4" s="56"/>
      <c r="L4" s="59">
        <f>VLOOKUP($F$8 &amp; " - " &amp; $I4,TabPerfil[],4,0)</f>
        <v>0.5</v>
      </c>
      <c r="M4" s="57">
        <f t="shared" ref="M4:M9" si="0">Vlr_Aportado*L4</f>
        <v>562.5</v>
      </c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8.75" customHeight="1" x14ac:dyDescent="0.25">
      <c r="A5" s="1"/>
      <c r="B5" s="24" t="s">
        <v>47</v>
      </c>
      <c r="C5" s="6"/>
      <c r="D5" s="6"/>
      <c r="E5" s="20"/>
      <c r="F5" s="74">
        <v>6.0000000000000001E-3</v>
      </c>
      <c r="G5" s="1"/>
      <c r="H5" s="1"/>
      <c r="I5" s="24" t="s">
        <v>31</v>
      </c>
      <c r="J5" s="6"/>
      <c r="K5" s="6"/>
      <c r="L5" s="60">
        <f>VLOOKUP($F$8 &amp; " - " &amp; $I5,TabPerfil[],4,0)</f>
        <v>0.1</v>
      </c>
      <c r="M5" s="58">
        <f t="shared" si="0"/>
        <v>112.5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8.75" customHeight="1" x14ac:dyDescent="0.25">
      <c r="A6" s="1"/>
      <c r="B6" s="26" t="s">
        <v>40</v>
      </c>
      <c r="C6" s="19"/>
      <c r="D6" s="19"/>
      <c r="E6" s="19"/>
      <c r="F6" s="27">
        <f>Renda_Mensal*0.3</f>
        <v>1125</v>
      </c>
      <c r="G6" s="1"/>
      <c r="H6" s="1"/>
      <c r="I6" s="24" t="s">
        <v>32</v>
      </c>
      <c r="J6" s="6"/>
      <c r="K6" s="6"/>
      <c r="L6" s="60">
        <f>VLOOKUP($F$8 &amp; " - " &amp; $I6,TabPerfil[],4,0)</f>
        <v>0.05</v>
      </c>
      <c r="M6" s="58">
        <f t="shared" si="0"/>
        <v>56.25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6.5" customHeight="1" x14ac:dyDescent="0.25">
      <c r="A7" s="1"/>
      <c r="B7" s="1"/>
      <c r="C7" s="1"/>
      <c r="D7" s="1"/>
      <c r="E7" s="1"/>
      <c r="F7" s="1"/>
      <c r="G7" s="1"/>
      <c r="H7" s="1"/>
      <c r="I7" s="24" t="s">
        <v>33</v>
      </c>
      <c r="J7" s="6"/>
      <c r="K7" s="6"/>
      <c r="L7" s="60">
        <f>VLOOKUP($F$8 &amp; " - " &amp; $I7,TabPerfil[],4,0)</f>
        <v>0.05</v>
      </c>
      <c r="M7" s="58">
        <f t="shared" si="0"/>
        <v>56.25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26.25" customHeight="1" thickBot="1" x14ac:dyDescent="0.4">
      <c r="A8" s="1"/>
      <c r="B8" s="65" t="s">
        <v>44</v>
      </c>
      <c r="C8" s="47"/>
      <c r="D8" s="47"/>
      <c r="E8" s="47"/>
      <c r="F8" s="72" t="s">
        <v>25</v>
      </c>
      <c r="G8" s="1"/>
      <c r="H8" s="1"/>
      <c r="I8" s="24" t="s">
        <v>34</v>
      </c>
      <c r="J8" s="6"/>
      <c r="K8" s="6"/>
      <c r="L8" s="60">
        <f>VLOOKUP($F$8 &amp; " - " &amp; $I8,TabPerfil[],4,0)</f>
        <v>0.2</v>
      </c>
      <c r="M8" s="58">
        <f t="shared" si="0"/>
        <v>225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8.75" customHeight="1" thickTop="1" x14ac:dyDescent="0.25">
      <c r="A9" s="1"/>
      <c r="B9" s="36" t="s">
        <v>26</v>
      </c>
      <c r="C9" s="36"/>
      <c r="D9" s="36"/>
      <c r="E9" s="36"/>
      <c r="F9" s="70" cm="1">
        <f t="array" ref="F9">_xlfn.IFS(
Perfil="CONSERVADOR",(ValorSugerido*VLOOKUP(Perfil,TabPorcInv[],2,0)),
Perfil="MODERADO",(ValorSugerido*VLOOKUP(Perfil,TabPorcInv[],2,0)),
Perfil="AGRESSIVO",(ValorSugerido*VLOOKUP(Perfil,TabPorcInv[],2,0)))</f>
        <v>1125</v>
      </c>
      <c r="G9" s="1"/>
      <c r="H9" s="1"/>
      <c r="I9" s="24" t="s">
        <v>35</v>
      </c>
      <c r="J9" s="6"/>
      <c r="K9" s="6"/>
      <c r="L9" s="60">
        <f>VLOOKUP($F$8 &amp; " - " &amp; $I9,TabPerfil[],4,0)</f>
        <v>0.1</v>
      </c>
      <c r="M9" s="58">
        <f t="shared" si="0"/>
        <v>112.5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6.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26.25" customHeight="1" thickBot="1" x14ac:dyDescent="0.4">
      <c r="A11" s="1"/>
      <c r="B11" s="66" t="s">
        <v>6</v>
      </c>
      <c r="C11" s="8"/>
      <c r="D11" s="8"/>
      <c r="E11" s="8"/>
      <c r="F11" s="3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8.75" customHeight="1" x14ac:dyDescent="0.25">
      <c r="A12" s="1"/>
      <c r="B12" s="32" t="s">
        <v>7</v>
      </c>
      <c r="C12" s="1"/>
      <c r="D12" s="1"/>
      <c r="E12" s="1"/>
      <c r="F12" s="71">
        <f>Simulador!Vlr_Aportado</f>
        <v>1125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8.75" customHeight="1" x14ac:dyDescent="0.25">
      <c r="A13" s="1"/>
      <c r="B13" s="24" t="s">
        <v>8</v>
      </c>
      <c r="C13" s="6"/>
      <c r="D13" s="6"/>
      <c r="E13" s="6"/>
      <c r="F13" s="75">
        <v>4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8.75" customHeight="1" x14ac:dyDescent="0.25">
      <c r="A14" s="1"/>
      <c r="B14" s="24" t="s">
        <v>9</v>
      </c>
      <c r="C14" s="6"/>
      <c r="D14" s="6"/>
      <c r="E14" s="6"/>
      <c r="F14" s="76">
        <v>1.0789999999999999E-2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8.75" customHeight="1" x14ac:dyDescent="0.25">
      <c r="A15" s="1"/>
      <c r="B15" s="36" t="s">
        <v>11</v>
      </c>
      <c r="C15" s="7"/>
      <c r="D15" s="7"/>
      <c r="E15" s="7"/>
      <c r="F15" s="37">
        <f>FV(Taxa,(Anos*12),(Vlr_Investido*(-1)))</f>
        <v>70261.147115561427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8.75" customHeight="1" x14ac:dyDescent="0.25">
      <c r="A16" s="1"/>
      <c r="B16" s="38" t="s">
        <v>12</v>
      </c>
      <c r="C16" s="39"/>
      <c r="D16" s="39"/>
      <c r="E16" s="39"/>
      <c r="F16" s="40">
        <f>PatrimonioAc*1%</f>
        <v>702.61147115561425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6.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26.25" customHeight="1" thickBot="1" x14ac:dyDescent="0.4">
      <c r="A18" s="1"/>
      <c r="B18" s="66" t="s">
        <v>13</v>
      </c>
      <c r="C18" s="67"/>
      <c r="D18" s="67"/>
      <c r="E18" s="68" t="s">
        <v>29</v>
      </c>
      <c r="F18" s="69" t="s">
        <v>45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8.75" customHeight="1" thickBot="1" x14ac:dyDescent="0.3">
      <c r="A19" s="9">
        <v>2</v>
      </c>
      <c r="B19" s="42" t="s">
        <v>14</v>
      </c>
      <c r="C19" s="11"/>
      <c r="D19" s="11"/>
      <c r="E19" s="16">
        <f>FV(Taxa,($A19*12),(Vlr_Investido*(-1)))</f>
        <v>30631.08070985087</v>
      </c>
      <c r="F19" s="43">
        <f>E19*Rendimento_Carteira</f>
        <v>183.78648425910524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8.75" customHeight="1" thickBot="1" x14ac:dyDescent="0.3">
      <c r="A20" s="9">
        <v>5</v>
      </c>
      <c r="B20" s="44" t="s">
        <v>15</v>
      </c>
      <c r="C20" s="15"/>
      <c r="D20" s="13"/>
      <c r="E20" s="14">
        <f>FV(Taxa,($A20*12),(Vlr_Investido*(-1)))</f>
        <v>94249.028248298593</v>
      </c>
      <c r="F20" s="45">
        <f>E20*Rendimento_Carteira</f>
        <v>565.4941694897916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8.75" customHeight="1" thickBot="1" x14ac:dyDescent="0.3">
      <c r="A21" s="9">
        <v>10</v>
      </c>
      <c r="B21" s="44" t="s">
        <v>16</v>
      </c>
      <c r="C21" s="15"/>
      <c r="D21" s="13"/>
      <c r="E21" s="14">
        <f>FV(Taxa,($A21*12),(Vlr_Investido*(-1)))</f>
        <v>273694.73909644375</v>
      </c>
      <c r="F21" s="45">
        <f>E21*Rendimento_Carteira</f>
        <v>1642.1684345786625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8.75" customHeight="1" thickBot="1" x14ac:dyDescent="0.3">
      <c r="A22" s="9">
        <v>20</v>
      </c>
      <c r="B22" s="44" t="s">
        <v>17</v>
      </c>
      <c r="C22" s="15"/>
      <c r="D22" s="13"/>
      <c r="E22" s="14">
        <f>FV(Taxa,($A22*12),(Vlr_Investido*(-1)))</f>
        <v>1265848.2001092157</v>
      </c>
      <c r="F22" s="45">
        <f>E22*Rendimento_Carteira</f>
        <v>7595.089200655294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8.75" customHeight="1" thickBot="1" x14ac:dyDescent="0.3">
      <c r="A23" s="9">
        <v>30</v>
      </c>
      <c r="B23" s="46" t="s">
        <v>18</v>
      </c>
      <c r="C23" s="12"/>
      <c r="D23" s="12"/>
      <c r="E23" s="17">
        <f>FV(Taxa,($A23*12),(Vlr_Investido*(-1)))</f>
        <v>4862440.8618803043</v>
      </c>
      <c r="F23" s="45">
        <f>E23*Rendimento_Carteira</f>
        <v>29174.645171281827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21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21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8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8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8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8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8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8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21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21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21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5.7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5.7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5.7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5.7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5.7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5.7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5.7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5.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5.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5.7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5.7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5.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5.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5.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5.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5.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5.7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5.75" hidden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5.75" hidden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5.75" hidden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5.75" hidden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5.75" hidden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5.75" hidden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5.75" hidden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5.75" hidden="1" x14ac:dyDescent="0.25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5.75" hidden="1" x14ac:dyDescent="0.25"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5.75" hidden="1" x14ac:dyDescent="0.25"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5.75" hidden="1" x14ac:dyDescent="0.25"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5.75" hidden="1" x14ac:dyDescent="0.25"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5.75" hidden="1" x14ac:dyDescent="0.25"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7:28" ht="15.75" hidden="1" x14ac:dyDescent="0.25"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7:28" ht="15.75" hidden="1" x14ac:dyDescent="0.25"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7:28" ht="15.75" hidden="1" x14ac:dyDescent="0.25"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7:28" ht="15.75" hidden="1" x14ac:dyDescent="0.25"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7:28" ht="15.75" hidden="1" x14ac:dyDescent="0.25"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7:28" ht="15.75" customHeight="1" x14ac:dyDescent="0.25"/>
  </sheetData>
  <sheetProtection sheet="1" objects="1" scenarios="1"/>
  <conditionalFormatting sqref="F8">
    <cfRule type="cellIs" dxfId="7" priority="1" operator="equal">
      <formula>"AGRESSIVO"</formula>
    </cfRule>
    <cfRule type="cellIs" dxfId="6" priority="2" operator="equal">
      <formula>"MODERADO"</formula>
    </cfRule>
  </conditionalFormatting>
  <dataValidations count="1">
    <dataValidation type="list" allowBlank="1" showInputMessage="1" showErrorMessage="1" sqref="E8:F8" xr:uid="{6BA62FA7-12FE-46F7-9069-7D1FB6CC882D}">
      <formula1>"CONSERVADOR,MODERADO,AGRESSIVO"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F9366-B9F3-4AB7-A466-6ABD08A7ABA0}">
  <sheetPr codeName="Planilha4"/>
  <dimension ref="A1:G20"/>
  <sheetViews>
    <sheetView showGridLines="0" workbookViewId="0">
      <selection activeCell="F3" sqref="F3"/>
    </sheetView>
  </sheetViews>
  <sheetFormatPr defaultRowHeight="15" x14ac:dyDescent="0.25"/>
  <cols>
    <col min="1" max="1" width="34" bestFit="1" customWidth="1"/>
    <col min="2" max="2" width="14.42578125" bestFit="1" customWidth="1"/>
    <col min="3" max="3" width="18.5703125" bestFit="1" customWidth="1"/>
    <col min="4" max="4" width="4.85546875" bestFit="1" customWidth="1"/>
    <col min="6" max="6" width="19.42578125" bestFit="1" customWidth="1"/>
    <col min="7" max="7" width="21" bestFit="1" customWidth="1"/>
  </cols>
  <sheetData>
    <row r="1" spans="1:7" ht="24" customHeight="1" x14ac:dyDescent="0.25">
      <c r="A1" s="62" t="s">
        <v>42</v>
      </c>
      <c r="F1" s="62" t="s">
        <v>43</v>
      </c>
    </row>
    <row r="2" spans="1:7" x14ac:dyDescent="0.25">
      <c r="A2" s="51" t="s">
        <v>38</v>
      </c>
      <c r="B2" s="52" t="s">
        <v>24</v>
      </c>
      <c r="C2" s="52" t="s">
        <v>27</v>
      </c>
      <c r="D2" s="53" t="s">
        <v>39</v>
      </c>
      <c r="F2" t="s">
        <v>24</v>
      </c>
      <c r="G2" t="s">
        <v>41</v>
      </c>
    </row>
    <row r="3" spans="1:7" x14ac:dyDescent="0.25">
      <c r="A3" s="51" t="str">
        <f>_xlfn.CONCAT(B3," - ",C3)</f>
        <v>CONSERVADOR - PAPEL</v>
      </c>
      <c r="B3" s="52" t="s">
        <v>36</v>
      </c>
      <c r="C3" s="52" t="s">
        <v>30</v>
      </c>
      <c r="D3" s="54">
        <v>0.3</v>
      </c>
      <c r="F3" t="s">
        <v>36</v>
      </c>
      <c r="G3" s="63">
        <v>0.3</v>
      </c>
    </row>
    <row r="4" spans="1:7" x14ac:dyDescent="0.25">
      <c r="A4" s="51" t="str">
        <f t="shared" ref="A4:A20" si="0">_xlfn.CONCAT(B4," - ",C4)</f>
        <v>CONSERVADOR - TIJOLO</v>
      </c>
      <c r="B4" s="52" t="s">
        <v>36</v>
      </c>
      <c r="C4" s="52" t="s">
        <v>31</v>
      </c>
      <c r="D4" s="54">
        <v>0.5</v>
      </c>
      <c r="F4" t="s">
        <v>37</v>
      </c>
      <c r="G4" s="63">
        <v>0.7</v>
      </c>
    </row>
    <row r="5" spans="1:7" x14ac:dyDescent="0.25">
      <c r="A5" s="51" t="str">
        <f t="shared" si="0"/>
        <v>CONSERVADOR - HÍBRIDOS</v>
      </c>
      <c r="B5" s="52" t="s">
        <v>36</v>
      </c>
      <c r="C5" s="52" t="s">
        <v>32</v>
      </c>
      <c r="D5" s="54">
        <v>0.1</v>
      </c>
      <c r="F5" t="s">
        <v>25</v>
      </c>
      <c r="G5" s="63">
        <v>1</v>
      </c>
    </row>
    <row r="6" spans="1:7" x14ac:dyDescent="0.25">
      <c r="A6" s="51" t="str">
        <f t="shared" si="0"/>
        <v>CONSERVADOR - FOFs</v>
      </c>
      <c r="B6" s="52" t="s">
        <v>36</v>
      </c>
      <c r="C6" s="52" t="s">
        <v>33</v>
      </c>
      <c r="D6" s="54">
        <v>0.1</v>
      </c>
    </row>
    <row r="7" spans="1:7" x14ac:dyDescent="0.25">
      <c r="A7" s="51" t="str">
        <f t="shared" si="0"/>
        <v>CONSERVADOR - DESENVOLVIMENTO</v>
      </c>
      <c r="B7" s="52" t="s">
        <v>36</v>
      </c>
      <c r="C7" s="52" t="s">
        <v>34</v>
      </c>
      <c r="D7" s="54">
        <v>0</v>
      </c>
    </row>
    <row r="8" spans="1:7" x14ac:dyDescent="0.25">
      <c r="A8" s="51" t="str">
        <f t="shared" si="0"/>
        <v>CONSERVADOR - HOTELARIAS</v>
      </c>
      <c r="B8" s="52" t="s">
        <v>36</v>
      </c>
      <c r="C8" s="52" t="s">
        <v>35</v>
      </c>
      <c r="D8" s="54">
        <v>0</v>
      </c>
    </row>
    <row r="9" spans="1:7" x14ac:dyDescent="0.25">
      <c r="A9" s="51" t="str">
        <f t="shared" si="0"/>
        <v>MODERADO - PAPEL</v>
      </c>
      <c r="B9" s="52" t="s">
        <v>37</v>
      </c>
      <c r="C9" s="52" t="s">
        <v>30</v>
      </c>
      <c r="D9" s="54">
        <v>0.32</v>
      </c>
    </row>
    <row r="10" spans="1:7" x14ac:dyDescent="0.25">
      <c r="A10" s="51" t="str">
        <f t="shared" si="0"/>
        <v>MODERADO - TIJOLO</v>
      </c>
      <c r="B10" s="52" t="s">
        <v>37</v>
      </c>
      <c r="C10" s="52" t="s">
        <v>31</v>
      </c>
      <c r="D10" s="54">
        <v>0.35</v>
      </c>
    </row>
    <row r="11" spans="1:7" x14ac:dyDescent="0.25">
      <c r="A11" s="51" t="str">
        <f t="shared" si="0"/>
        <v>MODERADO - HÍBRIDOS</v>
      </c>
      <c r="B11" s="52" t="s">
        <v>37</v>
      </c>
      <c r="C11" s="52" t="s">
        <v>32</v>
      </c>
      <c r="D11" s="54">
        <v>0.08</v>
      </c>
    </row>
    <row r="12" spans="1:7" x14ac:dyDescent="0.25">
      <c r="A12" s="51" t="str">
        <f t="shared" si="0"/>
        <v>MODERADO - FOFs</v>
      </c>
      <c r="B12" s="52" t="s">
        <v>37</v>
      </c>
      <c r="C12" s="52" t="s">
        <v>33</v>
      </c>
      <c r="D12" s="54">
        <v>0.05</v>
      </c>
    </row>
    <row r="13" spans="1:7" x14ac:dyDescent="0.25">
      <c r="A13" s="51" t="str">
        <f t="shared" si="0"/>
        <v>MODERADO - DESENVOLVIMENTO</v>
      </c>
      <c r="B13" s="52" t="s">
        <v>37</v>
      </c>
      <c r="C13" s="52" t="s">
        <v>34</v>
      </c>
      <c r="D13" s="54">
        <v>0.1</v>
      </c>
    </row>
    <row r="14" spans="1:7" x14ac:dyDescent="0.25">
      <c r="A14" s="51" t="str">
        <f t="shared" si="0"/>
        <v>MODERADO - HOTELARIAS</v>
      </c>
      <c r="B14" s="52" t="s">
        <v>37</v>
      </c>
      <c r="C14" s="52" t="s">
        <v>35</v>
      </c>
      <c r="D14" s="54">
        <v>0.1</v>
      </c>
    </row>
    <row r="15" spans="1:7" x14ac:dyDescent="0.25">
      <c r="A15" s="51" t="str">
        <f t="shared" si="0"/>
        <v>AGRESSIVO - PAPEL</v>
      </c>
      <c r="B15" s="52" t="s">
        <v>25</v>
      </c>
      <c r="C15" s="52" t="s">
        <v>30</v>
      </c>
      <c r="D15" s="54">
        <v>0.5</v>
      </c>
    </row>
    <row r="16" spans="1:7" x14ac:dyDescent="0.25">
      <c r="A16" s="51" t="str">
        <f t="shared" si="0"/>
        <v>AGRESSIVO - TIJOLO</v>
      </c>
      <c r="B16" s="52" t="s">
        <v>25</v>
      </c>
      <c r="C16" s="52" t="s">
        <v>31</v>
      </c>
      <c r="D16" s="54">
        <v>0.1</v>
      </c>
    </row>
    <row r="17" spans="1:4" x14ac:dyDescent="0.25">
      <c r="A17" s="51" t="str">
        <f t="shared" si="0"/>
        <v>AGRESSIVO - HÍBRIDOS</v>
      </c>
      <c r="B17" s="52" t="s">
        <v>25</v>
      </c>
      <c r="C17" s="52" t="s">
        <v>32</v>
      </c>
      <c r="D17" s="54">
        <v>0.05</v>
      </c>
    </row>
    <row r="18" spans="1:4" x14ac:dyDescent="0.25">
      <c r="A18" s="51" t="str">
        <f t="shared" si="0"/>
        <v>AGRESSIVO - FOFs</v>
      </c>
      <c r="B18" s="52" t="s">
        <v>25</v>
      </c>
      <c r="C18" s="52" t="s">
        <v>33</v>
      </c>
      <c r="D18" s="54">
        <v>0.05</v>
      </c>
    </row>
    <row r="19" spans="1:4" x14ac:dyDescent="0.25">
      <c r="A19" s="51" t="str">
        <f t="shared" si="0"/>
        <v>AGRESSIVO - DESENVOLVIMENTO</v>
      </c>
      <c r="B19" s="52" t="s">
        <v>25</v>
      </c>
      <c r="C19" s="52" t="s">
        <v>34</v>
      </c>
      <c r="D19" s="54">
        <v>0.2</v>
      </c>
    </row>
    <row r="20" spans="1:4" x14ac:dyDescent="0.25">
      <c r="A20" s="51" t="str">
        <f t="shared" si="0"/>
        <v>AGRESSIVO - HOTELARIAS</v>
      </c>
      <c r="B20" s="52" t="s">
        <v>25</v>
      </c>
      <c r="C20" s="52" t="s">
        <v>35</v>
      </c>
      <c r="D20" s="54">
        <v>0.1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</vt:i4>
      </vt:variant>
    </vt:vector>
  </HeadingPairs>
  <TitlesOfParts>
    <vt:vector size="22" baseType="lpstr">
      <vt:lpstr>Especificação</vt:lpstr>
      <vt:lpstr>Simulador_Exemplo</vt:lpstr>
      <vt:lpstr>Simulador</vt:lpstr>
      <vt:lpstr>BD</vt:lpstr>
      <vt:lpstr>Anos</vt:lpstr>
      <vt:lpstr>Aporte</vt:lpstr>
      <vt:lpstr>Simulador!Patrimonio</vt:lpstr>
      <vt:lpstr>Patrimonio</vt:lpstr>
      <vt:lpstr>PatrimonioAc</vt:lpstr>
      <vt:lpstr>Perfil</vt:lpstr>
      <vt:lpstr>Simulador!Qtd_Anos</vt:lpstr>
      <vt:lpstr>Qtd_Anos</vt:lpstr>
      <vt:lpstr>Simulador!Renda_Mensal</vt:lpstr>
      <vt:lpstr>Simulador!Rendimento_Carteira</vt:lpstr>
      <vt:lpstr>Rendimento_Carteira</vt:lpstr>
      <vt:lpstr>Taxa</vt:lpstr>
      <vt:lpstr>Simulador!Taxa_Mensal</vt:lpstr>
      <vt:lpstr>Taxa_Mensal</vt:lpstr>
      <vt:lpstr>ValorSugerido</vt:lpstr>
      <vt:lpstr>Simulador!Vlr_Aportado</vt:lpstr>
      <vt:lpstr>Vlr_Aportado</vt:lpstr>
      <vt:lpstr>Vlr_Investido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Marcia C R S Oliveira</dc:creator>
  <cp:lastModifiedBy>Marcia Ribeiro</cp:lastModifiedBy>
  <dcterms:created xsi:type="dcterms:W3CDTF">2025-05-22T13:29:01Z</dcterms:created>
  <dcterms:modified xsi:type="dcterms:W3CDTF">2025-05-30T16:31:30Z</dcterms:modified>
</cp:coreProperties>
</file>